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By Category" sheetId="3" state="visible" r:id="rId3"/>
    <sheet name="By Merchant" sheetId="4" state="visible" r:id="rId4"/>
  </sheets>
  <definedNames>
    <definedName name="_xlnm._FilterDatabase" localSheetId="1" hidden="1">'Transactions'!$A$1:$G$136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"/>
    <numFmt numFmtId="166" formatCode="#,##0.00;[Red](#,##0.00)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</font>
    <font>
      <name val="Arial"/>
      <color rgb="000000FF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6" fillId="0" borderId="0" pivotButton="0" quotePrefix="0" xfId="0"/>
    <xf numFmtId="166" fontId="7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5" fontId="2" fillId="0" borderId="0" pivotButton="0" quotePrefix="0" xfId="0"/>
    <xf numFmtId="49" fontId="2" fillId="0" borderId="0" pivotButton="0" quotePrefix="0" xfId="0"/>
    <xf numFmtId="166" fontId="2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s="1" t="inlineStr">
        <is>
          <t>BDO Shopmore Mastercard (PHP) - Statement Compilation</t>
        </is>
      </c>
      <c r="B1" s="2" t="n"/>
      <c r="C1" s="2" t="n"/>
    </row>
    <row r="2">
      <c r="A2" s="3" t="inlineStr">
        <is>
          <t>Card ending 5660. Figures marked blue are typed from the statements; black are formulas over the Transactions sheet.</t>
        </is>
      </c>
      <c r="B2" s="2" t="n"/>
      <c r="C2" s="2" t="n"/>
    </row>
    <row r="3">
      <c r="A3" s="2" t="n"/>
      <c r="B3" s="2" t="n"/>
      <c r="C3" s="2" t="n"/>
    </row>
    <row r="4">
      <c r="A4" s="4" t="inlineStr"/>
      <c r="B4" s="4" t="inlineStr">
        <is>
          <t>Aug 25, 2026</t>
        </is>
      </c>
      <c r="C4" s="4" t="inlineStr">
        <is>
          <t>Sep 24, 2026</t>
        </is>
      </c>
    </row>
    <row r="5">
      <c r="A5" s="2" t="inlineStr">
        <is>
          <t>Statement date</t>
        </is>
      </c>
      <c r="B5" s="5" t="inlineStr">
        <is>
          <t>Aug 25, 2026</t>
        </is>
      </c>
      <c r="C5" s="5" t="inlineStr">
        <is>
          <t>Sep 24, 2026</t>
        </is>
      </c>
    </row>
    <row r="6">
      <c r="A6" s="2" t="inlineStr">
        <is>
          <t>Payment due date</t>
        </is>
      </c>
      <c r="B6" s="5" t="inlineStr">
        <is>
          <t>Sep 21, 2026</t>
        </is>
      </c>
      <c r="C6" s="5" t="inlineStr">
        <is>
          <t>Oct 19, 2026</t>
        </is>
      </c>
    </row>
    <row r="7">
      <c r="A7" s="2" t="inlineStr">
        <is>
          <t>Credit limit</t>
        </is>
      </c>
      <c r="B7" s="6" t="n">
        <v>425000</v>
      </c>
      <c r="C7" s="6" t="n">
        <v>720000</v>
      </c>
    </row>
    <row r="8">
      <c r="A8" s="2" t="inlineStr">
        <is>
          <t>Interest rate per month</t>
        </is>
      </c>
      <c r="B8" s="7" t="n">
        <v>0.03</v>
      </c>
      <c r="C8" s="7" t="n">
        <v>0.03</v>
      </c>
    </row>
    <row r="9">
      <c r="A9" s="2" t="inlineStr">
        <is>
          <t>Minimum amount due</t>
        </is>
      </c>
      <c r="B9" s="6" t="n">
        <v>850</v>
      </c>
      <c r="C9" s="6" t="n">
        <v>2785.37</v>
      </c>
    </row>
    <row r="10">
      <c r="A10" s="2" t="inlineStr">
        <is>
          <t>Total amount due (per statement)</t>
        </is>
      </c>
      <c r="B10" s="6" t="n">
        <v>27977.46</v>
      </c>
      <c r="C10" s="6" t="n">
        <v>92845.7</v>
      </c>
    </row>
    <row r="11">
      <c r="A11" s="2" t="inlineStr">
        <is>
          <t>Previous balance</t>
        </is>
      </c>
      <c r="B11" s="6" t="n">
        <v>22629.91</v>
      </c>
      <c r="C11" s="6" t="n">
        <v>27977.46</v>
      </c>
    </row>
    <row r="12">
      <c r="A12" s="2" t="inlineStr">
        <is>
          <t>Purchases and advances (per statement)</t>
        </is>
      </c>
      <c r="B12" s="6" t="n">
        <v>29470.64</v>
      </c>
      <c r="C12" s="6" t="n">
        <v>119094.74</v>
      </c>
    </row>
    <row r="13">
      <c r="A13" s="2" t="inlineStr">
        <is>
          <t>Fees/other debits (per statement)</t>
        </is>
      </c>
      <c r="B13" s="6" t="n">
        <v>1800</v>
      </c>
      <c r="C13" s="6" t="n">
        <v>0</v>
      </c>
    </row>
    <row r="14">
      <c r="A14" s="2" t="inlineStr">
        <is>
          <t>Finance + late charges (per statement)</t>
        </is>
      </c>
      <c r="B14" s="6" t="n">
        <v>0</v>
      </c>
      <c r="C14" s="6" t="n">
        <v>0</v>
      </c>
    </row>
    <row r="15">
      <c r="A15" s="2" t="inlineStr">
        <is>
          <t>Payments/other credits (per statement)</t>
        </is>
      </c>
      <c r="B15" s="6" t="n">
        <v>-25923.09</v>
      </c>
      <c r="C15" s="6" t="n">
        <v>-54226.5</v>
      </c>
    </row>
    <row r="16">
      <c r="A16" s="2" t="n"/>
      <c r="B16" s="8" t="n"/>
      <c r="C16" s="8" t="n"/>
    </row>
    <row r="17">
      <c r="A17" s="9" t="inlineStr">
        <is>
          <t>Reconciliation (formulas)</t>
        </is>
      </c>
      <c r="B17" s="8" t="n"/>
      <c r="C17" s="8" t="n"/>
    </row>
    <row r="18">
      <c r="A18" s="2" t="inlineStr">
        <is>
          <t>Computed total (prev bal + all transactions)</t>
        </is>
      </c>
      <c r="B18" s="10">
        <f>B11+SUMIFS(Transactions!$G$2:$G$136,Transactions!$A$2:$A$136,B$4)</f>
        <v/>
      </c>
      <c r="C18" s="10">
        <f>C11+SUMIFS(Transactions!$G$2:$G$136,Transactions!$A$2:$A$136,C$4)</f>
        <v/>
      </c>
    </row>
    <row r="19">
      <c r="A19" s="2" t="inlineStr">
        <is>
          <t>Difference vs statement total</t>
        </is>
      </c>
      <c r="B19" s="10">
        <f>ROUND(B18-B10,2)</f>
        <v/>
      </c>
      <c r="C19" s="10">
        <f>ROUND(C18-C10,2)</f>
        <v/>
      </c>
    </row>
    <row r="20">
      <c r="A20" s="2" t="inlineStr">
        <is>
          <t>Sum of payments in transactions</t>
        </is>
      </c>
      <c r="B20" s="10">
        <f>SUMIFS(Transactions!$G$2:$G$136,Transactions!$A$2:$A$136,B$4,Transactions!$E$2:$E$136,"Payment")</f>
        <v/>
      </c>
      <c r="C20" s="10">
        <f>SUMIFS(Transactions!$G$2:$G$136,Transactions!$A$2:$A$136,C$4,Transactions!$E$2:$E$136,"Payment")</f>
        <v/>
      </c>
    </row>
    <row r="21">
      <c r="A21" s="2" t="inlineStr">
        <is>
          <t>Sum of refunds/credits in transactions</t>
        </is>
      </c>
      <c r="B21" s="10">
        <f>SUMIFS(Transactions!$G$2:$G$136,Transactions!$A$2:$A$136,B$4,Transactions!$E$2:$E$136,"Refund/Credit")</f>
        <v/>
      </c>
      <c r="C21" s="10">
        <f>SUMIFS(Transactions!$G$2:$G$136,Transactions!$A$2:$A$136,C$4,Transactions!$E$2:$E$136,"Refund/Credit")</f>
        <v/>
      </c>
    </row>
    <row r="22">
      <c r="A22" s="2" t="inlineStr">
        <is>
          <t>Statement payments/credits vs transactions (diff)</t>
        </is>
      </c>
      <c r="B22" s="10">
        <f>ROUND(B15-B20-B21,2)</f>
        <v/>
      </c>
      <c r="C22" s="10">
        <f>ROUND(C15-C20-C21,2)</f>
        <v/>
      </c>
    </row>
    <row r="23">
      <c r="A23" s="2" t="inlineStr">
        <is>
          <t>Unpaid balance if only minimum paid</t>
        </is>
      </c>
      <c r="B23" s="10">
        <f>B10-B9</f>
        <v/>
      </c>
      <c r="C23" s="10">
        <f>C10-C9</f>
        <v/>
      </c>
    </row>
    <row r="24">
      <c r="A24" s="2" t="inlineStr">
        <is>
          <t>Next-month interest at 3% if minimum only</t>
        </is>
      </c>
      <c r="B24" s="10">
        <f>ROUND(B23*B8,2)</f>
        <v/>
      </c>
      <c r="C24" s="10">
        <f>ROUND(C23*C8,2)</f>
        <v/>
      </c>
    </row>
    <row r="25">
      <c r="A25" s="2" t="inlineStr">
        <is>
          <t>Utilization (total due / credit limit)</t>
        </is>
      </c>
      <c r="B25" s="11">
        <f>B10/B7</f>
        <v/>
      </c>
      <c r="C25" s="11">
        <f>C10/C7</f>
        <v/>
      </c>
    </row>
    <row r="27">
      <c r="A27" s="3" t="inlineStr">
        <is>
          <t>Note: transcribed by hand from phone screenshots; the Difference row confirms each statement ties out to the printed total. Aug statement page 1 post dates for a few items were hard to 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42" customWidth="1" min="4" max="4"/>
    <col width="18" customWidth="1" min="5" max="5"/>
    <col width="26" customWidth="1" min="6" max="6"/>
    <col width="15" customWidth="1" min="7" max="7"/>
  </cols>
  <sheetData>
    <row r="1">
      <c r="A1" s="4" t="inlineStr">
        <is>
          <t>Statement</t>
        </is>
      </c>
      <c r="B1" s="4" t="inlineStr">
        <is>
          <t>Sale Date</t>
        </is>
      </c>
      <c r="C1" s="4" t="inlineStr">
        <is>
          <t>Post Date</t>
        </is>
      </c>
      <c r="D1" s="4" t="inlineStr">
        <is>
          <t>Merchant</t>
        </is>
      </c>
      <c r="E1" s="4" t="inlineStr">
        <is>
          <t>Category</t>
        </is>
      </c>
      <c r="F1" s="4" t="inlineStr">
        <is>
          <t>Reference</t>
        </is>
      </c>
      <c r="G1" s="4" t="inlineStr">
        <is>
          <t>Amount (PHP)</t>
        </is>
      </c>
    </row>
    <row r="2">
      <c r="A2" s="2" t="inlineStr">
        <is>
          <t>Aug 25, 2026</t>
        </is>
      </c>
      <c r="B2" s="12" t="n">
        <v>46259</v>
      </c>
      <c r="C2" s="12" t="n">
        <v>46259</v>
      </c>
      <c r="D2" s="2" t="inlineStr">
        <is>
          <t>ANNUAL MEMBERSHIP FEE</t>
        </is>
      </c>
      <c r="E2" s="2" t="inlineStr">
        <is>
          <t>Fees</t>
        </is>
      </c>
      <c r="F2" s="13" t="inlineStr"/>
      <c r="G2" s="14" t="n">
        <v>1800</v>
      </c>
    </row>
    <row r="3">
      <c r="A3" s="2" t="inlineStr">
        <is>
          <t>Aug 25, 2026</t>
        </is>
      </c>
      <c r="B3" s="12" t="n">
        <v>46228</v>
      </c>
      <c r="C3" s="12" t="n">
        <v>46230</v>
      </c>
      <c r="D3" s="2" t="inlineStr">
        <is>
          <t>SHOPEE PH MANDALUYONG PHL</t>
        </is>
      </c>
      <c r="E3" s="2" t="inlineStr">
        <is>
          <t>Shopee</t>
        </is>
      </c>
      <c r="F3" s="13" t="inlineStr"/>
      <c r="G3" s="14" t="n">
        <v>288</v>
      </c>
    </row>
    <row r="4">
      <c r="A4" s="2" t="inlineStr">
        <is>
          <t>Aug 25, 2026</t>
        </is>
      </c>
      <c r="B4" s="12" t="n">
        <v>46229</v>
      </c>
      <c r="C4" s="12" t="n">
        <v>46230</v>
      </c>
      <c r="D4" s="2" t="inlineStr">
        <is>
          <t>TIKTOK SHOP SELLER TAGUIG PHL</t>
        </is>
      </c>
      <c r="E4" s="2" t="inlineStr">
        <is>
          <t>Refund/Credit</t>
        </is>
      </c>
      <c r="F4" s="13" t="inlineStr"/>
      <c r="G4" s="14" t="n">
        <v>-50.6</v>
      </c>
    </row>
    <row r="5">
      <c r="A5" s="2" t="inlineStr">
        <is>
          <t>Aug 25, 2026</t>
        </is>
      </c>
      <c r="B5" s="12" t="n">
        <v>46229</v>
      </c>
      <c r="C5" s="12" t="n">
        <v>46230</v>
      </c>
      <c r="D5" s="2" t="inlineStr">
        <is>
          <t>TIKTOK SHOP SELLER TAGUIG PHL</t>
        </is>
      </c>
      <c r="E5" s="2" t="inlineStr">
        <is>
          <t>Refund/Credit</t>
        </is>
      </c>
      <c r="F5" s="13" t="inlineStr"/>
      <c r="G5" s="14" t="n">
        <v>-48.58</v>
      </c>
    </row>
    <row r="6">
      <c r="A6" s="2" t="inlineStr">
        <is>
          <t>Aug 25, 2026</t>
        </is>
      </c>
      <c r="B6" s="12" t="n">
        <v>46233</v>
      </c>
      <c r="C6" s="12" t="n">
        <v>46233</v>
      </c>
      <c r="D6" s="2" t="inlineStr">
        <is>
          <t>SAVEMORE SAN PEDRO LAGUNA PH</t>
        </is>
      </c>
      <c r="E6" s="2" t="inlineStr">
        <is>
          <t>Food/Grocery</t>
        </is>
      </c>
      <c r="F6" s="13" t="inlineStr"/>
      <c r="G6" s="14" t="n">
        <v>546.1</v>
      </c>
    </row>
    <row r="7">
      <c r="A7" s="2" t="inlineStr">
        <is>
          <t>Aug 25, 2026</t>
        </is>
      </c>
      <c r="B7" s="12" t="n">
        <v>46234</v>
      </c>
      <c r="C7" s="12" t="n">
        <v>46236</v>
      </c>
      <c r="D7" s="2" t="inlineStr">
        <is>
          <t>GRAB PASIG CITY PHL</t>
        </is>
      </c>
      <c r="E7" s="2" t="inlineStr">
        <is>
          <t>Transport</t>
        </is>
      </c>
      <c r="F7" s="13" t="inlineStr"/>
      <c r="G7" s="14" t="n">
        <v>20</v>
      </c>
    </row>
    <row r="8">
      <c r="A8" s="2" t="inlineStr">
        <is>
          <t>Aug 25, 2026</t>
        </is>
      </c>
      <c r="B8" s="12" t="n">
        <v>46234</v>
      </c>
      <c r="C8" s="12" t="n">
        <v>46236</v>
      </c>
      <c r="D8" s="2" t="inlineStr">
        <is>
          <t>GRAB PASIG CITY PHL</t>
        </is>
      </c>
      <c r="E8" s="2" t="inlineStr">
        <is>
          <t>Transport</t>
        </is>
      </c>
      <c r="F8" s="13" t="inlineStr"/>
      <c r="G8" s="14" t="n">
        <v>18.06</v>
      </c>
    </row>
    <row r="9">
      <c r="A9" s="2" t="inlineStr">
        <is>
          <t>Aug 25, 2026</t>
        </is>
      </c>
      <c r="B9" s="12" t="n">
        <v>46234</v>
      </c>
      <c r="C9" s="12" t="n">
        <v>46236</v>
      </c>
      <c r="D9" s="2" t="inlineStr">
        <is>
          <t>GRAB MAKATI PHL</t>
        </is>
      </c>
      <c r="E9" s="2" t="inlineStr">
        <is>
          <t>Transport</t>
        </is>
      </c>
      <c r="F9" s="13" t="inlineStr"/>
      <c r="G9" s="14" t="n">
        <v>1157</v>
      </c>
    </row>
    <row r="10">
      <c r="A10" s="2" t="inlineStr">
        <is>
          <t>Aug 25, 2026</t>
        </is>
      </c>
      <c r="B10" s="12" t="n">
        <v>46235</v>
      </c>
      <c r="C10" s="12" t="n">
        <v>46236</v>
      </c>
      <c r="D10" s="2" t="inlineStr">
        <is>
          <t>PIZZA HUT CLTX SAN PED SAN PEDRO PHL</t>
        </is>
      </c>
      <c r="E10" s="2" t="inlineStr">
        <is>
          <t>Food/Grocery</t>
        </is>
      </c>
      <c r="F10" s="13" t="inlineStr"/>
      <c r="G10" s="14" t="n">
        <v>403.39</v>
      </c>
    </row>
    <row r="11">
      <c r="A11" s="2" t="inlineStr">
        <is>
          <t>Aug 25, 2026</t>
        </is>
      </c>
      <c r="B11" s="12" t="n">
        <v>46235</v>
      </c>
      <c r="C11" s="12" t="n">
        <v>46238</v>
      </c>
      <c r="D11" s="2" t="inlineStr">
        <is>
          <t>SUPER 8 SAN PEDRO LAGUNA SAN PE PHL</t>
        </is>
      </c>
      <c r="E11" s="2" t="inlineStr">
        <is>
          <t>Food/Grocery</t>
        </is>
      </c>
      <c r="F11" s="13" t="inlineStr"/>
      <c r="G11" s="14" t="n">
        <v>115</v>
      </c>
    </row>
    <row r="12">
      <c r="A12" s="2" t="inlineStr">
        <is>
          <t>Aug 25, 2026</t>
        </is>
      </c>
      <c r="B12" s="12" t="n">
        <v>46235</v>
      </c>
      <c r="C12" s="12" t="n">
        <v>46251</v>
      </c>
      <c r="D12" s="2" t="inlineStr">
        <is>
          <t>PLDT AUTOCHARGE MAKATI CITY PH</t>
        </is>
      </c>
      <c r="E12" s="2" t="inlineStr">
        <is>
          <t>Utilities/Bills</t>
        </is>
      </c>
      <c r="F12" s="13" t="inlineStr">
        <is>
          <t>0376499375</t>
        </is>
      </c>
      <c r="G12" s="14" t="n">
        <v>1699.01</v>
      </c>
    </row>
    <row r="13">
      <c r="A13" s="2" t="inlineStr">
        <is>
          <t>Aug 25, 2026</t>
        </is>
      </c>
      <c r="B13" s="12" t="n">
        <v>46237</v>
      </c>
      <c r="C13" s="12" t="n">
        <v>46239</v>
      </c>
      <c r="D13" s="2" t="inlineStr">
        <is>
          <t>SHOPEE PH MANDALUYONG PHL</t>
        </is>
      </c>
      <c r="E13" s="2" t="inlineStr">
        <is>
          <t>Shopee</t>
        </is>
      </c>
      <c r="F13" s="13" t="inlineStr"/>
      <c r="G13" s="14" t="n">
        <v>204</v>
      </c>
    </row>
    <row r="14">
      <c r="A14" s="2" t="inlineStr">
        <is>
          <t>Aug 25, 2026</t>
        </is>
      </c>
      <c r="B14" s="12" t="n">
        <v>46238</v>
      </c>
      <c r="C14" s="12" t="n">
        <v>46240</v>
      </c>
      <c r="D14" s="2" t="inlineStr">
        <is>
          <t>SHOPEE PH MANDALUYONG PHL</t>
        </is>
      </c>
      <c r="E14" s="2" t="inlineStr">
        <is>
          <t>Shopee</t>
        </is>
      </c>
      <c r="F14" s="13" t="inlineStr"/>
      <c r="G14" s="14" t="n">
        <v>409</v>
      </c>
    </row>
    <row r="15">
      <c r="A15" s="2" t="inlineStr">
        <is>
          <t>Aug 25, 2026</t>
        </is>
      </c>
      <c r="B15" s="12" t="n">
        <v>46238</v>
      </c>
      <c r="C15" s="12" t="n">
        <v>46240</v>
      </c>
      <c r="D15" s="2" t="inlineStr">
        <is>
          <t>SHOPEE PH MANDALUYONG PHL</t>
        </is>
      </c>
      <c r="E15" s="2" t="inlineStr">
        <is>
          <t>Shopee</t>
        </is>
      </c>
      <c r="F15" s="13" t="inlineStr"/>
      <c r="G15" s="14" t="n">
        <v>216</v>
      </c>
    </row>
    <row r="16">
      <c r="A16" s="2" t="inlineStr">
        <is>
          <t>Aug 25, 2026</t>
        </is>
      </c>
      <c r="B16" s="12" t="n">
        <v>46240</v>
      </c>
      <c r="C16" s="12" t="n">
        <v>46243</v>
      </c>
      <c r="D16" s="2" t="inlineStr">
        <is>
          <t>TIKTOK SHOP SELLER TAGUIG PHL</t>
        </is>
      </c>
      <c r="E16" s="2" t="inlineStr">
        <is>
          <t>TikTok Shop</t>
        </is>
      </c>
      <c r="F16" s="13" t="inlineStr"/>
      <c r="G16" s="14" t="n">
        <v>1038.18</v>
      </c>
    </row>
    <row r="17">
      <c r="A17" s="2" t="inlineStr">
        <is>
          <t>Aug 25, 2026</t>
        </is>
      </c>
      <c r="B17" s="12" t="n">
        <v>46242</v>
      </c>
      <c r="C17" s="12" t="n">
        <v>46244</v>
      </c>
      <c r="D17" s="2" t="inlineStr">
        <is>
          <t>SHOPEE PH MANDALUYONG PHL</t>
        </is>
      </c>
      <c r="E17" s="2" t="inlineStr">
        <is>
          <t>Shopee</t>
        </is>
      </c>
      <c r="F17" s="13" t="inlineStr"/>
      <c r="G17" s="14" t="n">
        <v>23</v>
      </c>
    </row>
    <row r="18">
      <c r="A18" s="2" t="inlineStr">
        <is>
          <t>Aug 25, 2026</t>
        </is>
      </c>
      <c r="B18" s="12" t="n">
        <v>46244</v>
      </c>
      <c r="C18" s="12" t="n">
        <v>46244</v>
      </c>
      <c r="D18" s="2" t="inlineStr">
        <is>
          <t>H&amp;M TAGUIG PH</t>
        </is>
      </c>
      <c r="E18" s="2" t="inlineStr">
        <is>
          <t>Shopping (retail)</t>
        </is>
      </c>
      <c r="F18" s="13" t="inlineStr"/>
      <c r="G18" s="14" t="n">
        <v>848.3</v>
      </c>
    </row>
    <row r="19">
      <c r="A19" s="2" t="inlineStr">
        <is>
          <t>Aug 25, 2026</t>
        </is>
      </c>
      <c r="B19" s="12" t="n">
        <v>46244</v>
      </c>
      <c r="C19" s="12" t="n">
        <v>46245</v>
      </c>
      <c r="D19" s="2" t="inlineStr">
        <is>
          <t>484 SM AURA TAGUIG PHL</t>
        </is>
      </c>
      <c r="E19" s="2" t="inlineStr">
        <is>
          <t>Shopping (retail)</t>
        </is>
      </c>
      <c r="F19" s="13" t="inlineStr"/>
      <c r="G19" s="14" t="n">
        <v>79</v>
      </c>
    </row>
    <row r="20">
      <c r="A20" s="2" t="inlineStr">
        <is>
          <t>Aug 25, 2026</t>
        </is>
      </c>
      <c r="B20" s="12" t="n">
        <v>46245</v>
      </c>
      <c r="C20" s="12" t="n">
        <v>46247</v>
      </c>
      <c r="D20" s="2" t="inlineStr">
        <is>
          <t>SHOPEE PH MANDALUYONG PHL</t>
        </is>
      </c>
      <c r="E20" s="2" t="inlineStr">
        <is>
          <t>Shopee</t>
        </is>
      </c>
      <c r="F20" s="13" t="inlineStr"/>
      <c r="G20" s="14" t="n">
        <v>502</v>
      </c>
    </row>
    <row r="21">
      <c r="A21" s="2" t="inlineStr">
        <is>
          <t>Aug 25, 2026</t>
        </is>
      </c>
      <c r="B21" s="12" t="n">
        <v>46247</v>
      </c>
      <c r="C21" s="12" t="n">
        <v>46250</v>
      </c>
      <c r="D21" s="2" t="inlineStr">
        <is>
          <t>SHOPEE PH MANDALUYONG PHL</t>
        </is>
      </c>
      <c r="E21" s="2" t="inlineStr">
        <is>
          <t>Shopee</t>
        </is>
      </c>
      <c r="F21" s="13" t="inlineStr"/>
      <c r="G21" s="14" t="n">
        <v>8568</v>
      </c>
    </row>
    <row r="22">
      <c r="A22" s="2" t="inlineStr">
        <is>
          <t>Aug 25, 2026</t>
        </is>
      </c>
      <c r="B22" s="12" t="n">
        <v>46249</v>
      </c>
      <c r="C22" s="12" t="n">
        <v>46251</v>
      </c>
      <c r="D22" s="2" t="inlineStr">
        <is>
          <t>SHOPEE PH MANDALUYONG PHL</t>
        </is>
      </c>
      <c r="E22" s="2" t="inlineStr">
        <is>
          <t>Shopee</t>
        </is>
      </c>
      <c r="F22" s="13" t="inlineStr"/>
      <c r="G22" s="14" t="n">
        <v>3115</v>
      </c>
    </row>
    <row r="23">
      <c r="A23" s="2" t="inlineStr">
        <is>
          <t>Aug 25, 2026</t>
        </is>
      </c>
      <c r="B23" s="12" t="n">
        <v>46250</v>
      </c>
      <c r="C23" s="12" t="n">
        <v>46252</v>
      </c>
      <c r="D23" s="2" t="inlineStr">
        <is>
          <t>SHOPEE PH MANDALUYONG PHL</t>
        </is>
      </c>
      <c r="E23" s="2" t="inlineStr">
        <is>
          <t>Shopee</t>
        </is>
      </c>
      <c r="F23" s="13" t="inlineStr"/>
      <c r="G23" s="14" t="n">
        <v>1234</v>
      </c>
    </row>
    <row r="24">
      <c r="A24" s="2" t="inlineStr">
        <is>
          <t>Aug 25, 2026</t>
        </is>
      </c>
      <c r="B24" s="12" t="n">
        <v>46251</v>
      </c>
      <c r="C24" s="12" t="n">
        <v>46252</v>
      </c>
      <c r="D24" s="2" t="inlineStr">
        <is>
          <t>MERALCO AUTOCHARGE PASIG CITY PH</t>
        </is>
      </c>
      <c r="E24" s="2" t="inlineStr">
        <is>
          <t>Utilities/Bills</t>
        </is>
      </c>
      <c r="F24" s="13" t="inlineStr">
        <is>
          <t>1248117325</t>
        </is>
      </c>
      <c r="G24" s="14" t="n">
        <v>1317.28</v>
      </c>
    </row>
    <row r="25">
      <c r="A25" s="2" t="inlineStr">
        <is>
          <t>Aug 25, 2026</t>
        </is>
      </c>
      <c r="B25" s="12" t="n">
        <v>46251</v>
      </c>
      <c r="C25" s="12" t="n">
        <v>46253</v>
      </c>
      <c r="D25" s="2" t="inlineStr">
        <is>
          <t>SHOPEE PH MANDALUYONG PHL</t>
        </is>
      </c>
      <c r="E25" s="2" t="inlineStr">
        <is>
          <t>Shopee</t>
        </is>
      </c>
      <c r="F25" s="13" t="inlineStr"/>
      <c r="G25" s="14" t="n">
        <v>224</v>
      </c>
    </row>
    <row r="26">
      <c r="A26" s="2" t="inlineStr">
        <is>
          <t>Aug 25, 2026</t>
        </is>
      </c>
      <c r="B26" s="12" t="n">
        <v>46252</v>
      </c>
      <c r="C26" s="12" t="n">
        <v>46253</v>
      </c>
      <c r="D26" s="2" t="inlineStr">
        <is>
          <t>SHOPEE PH MANDALUYONG PHL</t>
        </is>
      </c>
      <c r="E26" s="2" t="inlineStr">
        <is>
          <t>Refund/Credit</t>
        </is>
      </c>
      <c r="F26" s="13" t="inlineStr"/>
      <c r="G26" s="14" t="n">
        <v>-1960</v>
      </c>
    </row>
    <row r="27">
      <c r="A27" s="2" t="inlineStr">
        <is>
          <t>Aug 25, 2026</t>
        </is>
      </c>
      <c r="B27" s="12" t="n">
        <v>46253</v>
      </c>
      <c r="C27" s="12" t="n">
        <v>46253</v>
      </c>
      <c r="D27" s="2" t="inlineStr">
        <is>
          <t>LAZADA PH TAGUIG PH</t>
        </is>
      </c>
      <c r="E27" s="2" t="inlineStr">
        <is>
          <t>Lazada</t>
        </is>
      </c>
      <c r="F27" s="13" t="inlineStr">
        <is>
          <t>20260819901800021517156</t>
        </is>
      </c>
      <c r="G27" s="14" t="n">
        <v>1097.3</v>
      </c>
    </row>
    <row r="28">
      <c r="A28" s="2" t="inlineStr">
        <is>
          <t>Aug 25, 2026</t>
        </is>
      </c>
      <c r="B28" s="12" t="n">
        <v>46253</v>
      </c>
      <c r="C28" s="12" t="n">
        <v>46253</v>
      </c>
      <c r="D28" s="2" t="inlineStr">
        <is>
          <t>PAYMENT RECEIVED - THANK YOU</t>
        </is>
      </c>
      <c r="E28" s="2" t="inlineStr">
        <is>
          <t>Payment</t>
        </is>
      </c>
      <c r="F28" s="13" t="inlineStr"/>
      <c r="G28" s="14" t="n">
        <v>-22629.91</v>
      </c>
    </row>
    <row r="29">
      <c r="A29" s="2" t="inlineStr">
        <is>
          <t>Aug 25, 2026</t>
        </is>
      </c>
      <c r="B29" s="12" t="n">
        <v>46253</v>
      </c>
      <c r="C29" s="12" t="n">
        <v>46257</v>
      </c>
      <c r="D29" s="2" t="inlineStr">
        <is>
          <t>SHOPEE PH MANDALUYONG PHL</t>
        </is>
      </c>
      <c r="E29" s="2" t="inlineStr">
        <is>
          <t>Shopee</t>
        </is>
      </c>
      <c r="F29" s="13" t="inlineStr"/>
      <c r="G29" s="14" t="n">
        <v>98</v>
      </c>
    </row>
    <row r="30">
      <c r="A30" s="2" t="inlineStr">
        <is>
          <t>Aug 25, 2026</t>
        </is>
      </c>
      <c r="B30" s="12" t="n">
        <v>46254</v>
      </c>
      <c r="C30" s="12" t="n">
        <v>46254</v>
      </c>
      <c r="D30" s="2" t="inlineStr">
        <is>
          <t>LAZADA PH TAGUIG PH</t>
        </is>
      </c>
      <c r="E30" s="2" t="inlineStr">
        <is>
          <t>Lazada</t>
        </is>
      </c>
      <c r="F30" s="13" t="inlineStr">
        <is>
          <t>20260819901800021524370</t>
        </is>
      </c>
      <c r="G30" s="14" t="n">
        <v>1130</v>
      </c>
    </row>
    <row r="31">
      <c r="A31" s="2" t="inlineStr">
        <is>
          <t>Aug 25, 2026</t>
        </is>
      </c>
      <c r="B31" s="12" t="n">
        <v>46254</v>
      </c>
      <c r="C31" s="12" t="n">
        <v>46257</v>
      </c>
      <c r="D31" s="2" t="inlineStr">
        <is>
          <t>SHOPEE PH MANDALUYONG PHL</t>
        </is>
      </c>
      <c r="E31" s="2" t="inlineStr">
        <is>
          <t>Refund/Credit</t>
        </is>
      </c>
      <c r="F31" s="13" t="inlineStr"/>
      <c r="G31" s="14" t="n">
        <v>-1234</v>
      </c>
    </row>
    <row r="32">
      <c r="A32" s="2" t="inlineStr">
        <is>
          <t>Aug 25, 2026</t>
        </is>
      </c>
      <c r="B32" s="12" t="n">
        <v>46256</v>
      </c>
      <c r="C32" s="12" t="n">
        <v>46257</v>
      </c>
      <c r="D32" s="2" t="inlineStr">
        <is>
          <t>LAZADA PH TAGUIG PH</t>
        </is>
      </c>
      <c r="E32" s="2" t="inlineStr">
        <is>
          <t>Lazada</t>
        </is>
      </c>
      <c r="F32" s="13" t="inlineStr">
        <is>
          <t>20260822908400021915909</t>
        </is>
      </c>
      <c r="G32" s="14" t="n">
        <v>1150.02</v>
      </c>
    </row>
    <row r="33">
      <c r="A33" s="2" t="inlineStr">
        <is>
          <t>Aug 25, 2026</t>
        </is>
      </c>
      <c r="B33" s="12" t="n">
        <v>46256</v>
      </c>
      <c r="C33" s="12" t="n">
        <v>46258</v>
      </c>
      <c r="D33" s="2" t="inlineStr">
        <is>
          <t>SHOPEE PH MANDALUYONG PHL</t>
        </is>
      </c>
      <c r="E33" s="2" t="inlineStr">
        <is>
          <t>Shopee</t>
        </is>
      </c>
      <c r="F33" s="13" t="inlineStr"/>
      <c r="G33" s="14" t="n">
        <v>532</v>
      </c>
    </row>
    <row r="34">
      <c r="A34" s="2" t="inlineStr">
        <is>
          <t>Aug 25, 2026</t>
        </is>
      </c>
      <c r="B34" s="12" t="n">
        <v>46256</v>
      </c>
      <c r="C34" s="12" t="n">
        <v>46258</v>
      </c>
      <c r="D34" s="2" t="inlineStr">
        <is>
          <t>SHOPEE PH MANDALUYONG PHL</t>
        </is>
      </c>
      <c r="E34" s="2" t="inlineStr">
        <is>
          <t>Shopee</t>
        </is>
      </c>
      <c r="F34" s="13" t="inlineStr"/>
      <c r="G34" s="14" t="n">
        <v>1090</v>
      </c>
    </row>
    <row r="35">
      <c r="A35" s="2" t="inlineStr">
        <is>
          <t>Aug 25, 2026</t>
        </is>
      </c>
      <c r="B35" s="12" t="n">
        <v>46256</v>
      </c>
      <c r="C35" s="12" t="n">
        <v>46258</v>
      </c>
      <c r="D35" s="2" t="inlineStr">
        <is>
          <t>SHOPEE PH MANDALUYONG PHL</t>
        </is>
      </c>
      <c r="E35" s="2" t="inlineStr">
        <is>
          <t>Shopee</t>
        </is>
      </c>
      <c r="F35" s="13" t="inlineStr"/>
      <c r="G35" s="14" t="n">
        <v>406</v>
      </c>
    </row>
    <row r="36">
      <c r="A36" s="2" t="inlineStr">
        <is>
          <t>Aug 25, 2026</t>
        </is>
      </c>
      <c r="B36" s="12" t="n">
        <v>46256</v>
      </c>
      <c r="C36" s="12" t="n">
        <v>46258</v>
      </c>
      <c r="D36" s="2" t="inlineStr">
        <is>
          <t>SHOPEE PH MANDALUYONG PHL</t>
        </is>
      </c>
      <c r="E36" s="2" t="inlineStr">
        <is>
          <t>Shopee</t>
        </is>
      </c>
      <c r="F36" s="13" t="inlineStr"/>
      <c r="G36" s="14" t="n">
        <v>68</v>
      </c>
    </row>
    <row r="37">
      <c r="A37" s="2" t="inlineStr">
        <is>
          <t>Aug 25, 2026</t>
        </is>
      </c>
      <c r="B37" s="12" t="n">
        <v>46257</v>
      </c>
      <c r="C37" s="12" t="n">
        <v>46259</v>
      </c>
      <c r="D37" s="2" t="inlineStr">
        <is>
          <t>SHOPEE PH MANDALUYONG PHL</t>
        </is>
      </c>
      <c r="E37" s="2" t="inlineStr">
        <is>
          <t>Shopee</t>
        </is>
      </c>
      <c r="F37" s="13" t="inlineStr"/>
      <c r="G37" s="14" t="n">
        <v>356</v>
      </c>
    </row>
    <row r="38">
      <c r="A38" s="2" t="inlineStr">
        <is>
          <t>Aug 25, 2026</t>
        </is>
      </c>
      <c r="B38" s="12" t="n">
        <v>46257</v>
      </c>
      <c r="C38" s="12" t="n">
        <v>46259</v>
      </c>
      <c r="D38" s="2" t="inlineStr">
        <is>
          <t>SHOPEE PH MANDALUYONG PHL</t>
        </is>
      </c>
      <c r="E38" s="2" t="inlineStr">
        <is>
          <t>Shopee</t>
        </is>
      </c>
      <c r="F38" s="13" t="inlineStr"/>
      <c r="G38" s="14" t="n">
        <v>483</v>
      </c>
    </row>
    <row r="39">
      <c r="A39" s="2" t="inlineStr">
        <is>
          <t>Aug 25, 2026</t>
        </is>
      </c>
      <c r="B39" s="12" t="n">
        <v>46257</v>
      </c>
      <c r="C39" s="12" t="n">
        <v>46259</v>
      </c>
      <c r="D39" s="2" t="inlineStr">
        <is>
          <t>SHOPEE PH MANDALUYONG PHL</t>
        </is>
      </c>
      <c r="E39" s="2" t="inlineStr">
        <is>
          <t>Shopee</t>
        </is>
      </c>
      <c r="F39" s="13" t="inlineStr"/>
      <c r="G39" s="14" t="n">
        <v>381</v>
      </c>
    </row>
    <row r="40">
      <c r="A40" s="2" t="inlineStr">
        <is>
          <t>Aug 25, 2026</t>
        </is>
      </c>
      <c r="B40" s="12" t="n">
        <v>46257</v>
      </c>
      <c r="C40" s="12" t="n">
        <v>46259</v>
      </c>
      <c r="D40" s="2" t="inlineStr">
        <is>
          <t>SHOPEE PH MANDALUYONG PHL</t>
        </is>
      </c>
      <c r="E40" s="2" t="inlineStr">
        <is>
          <t>Shopee</t>
        </is>
      </c>
      <c r="F40" s="13" t="inlineStr"/>
      <c r="G40" s="14" t="n">
        <v>406</v>
      </c>
    </row>
    <row r="41">
      <c r="A41" s="2" t="inlineStr">
        <is>
          <t>Aug 25, 2026</t>
        </is>
      </c>
      <c r="B41" s="12" t="n">
        <v>46257</v>
      </c>
      <c r="C41" s="12" t="n">
        <v>46259</v>
      </c>
      <c r="D41" s="2" t="inlineStr">
        <is>
          <t>SHOPEE PH MANDALUYONG PHL</t>
        </is>
      </c>
      <c r="E41" s="2" t="inlineStr">
        <is>
          <t>Shopee</t>
        </is>
      </c>
      <c r="F41" s="13" t="inlineStr"/>
      <c r="G41" s="14" t="n">
        <v>87</v>
      </c>
    </row>
    <row r="42">
      <c r="A42" s="2" t="inlineStr">
        <is>
          <t>Aug 25, 2026</t>
        </is>
      </c>
      <c r="B42" s="12" t="n">
        <v>46257</v>
      </c>
      <c r="C42" s="12" t="n">
        <v>46259</v>
      </c>
      <c r="D42" s="2" t="inlineStr">
        <is>
          <t>SHOPEE PH MANDALUYONG PHL</t>
        </is>
      </c>
      <c r="E42" s="2" t="inlineStr">
        <is>
          <t>Shopee</t>
        </is>
      </c>
      <c r="F42" s="13" t="inlineStr"/>
      <c r="G42" s="14" t="n">
        <v>162</v>
      </c>
    </row>
    <row r="43">
      <c r="A43" s="2" t="inlineStr">
        <is>
          <t>Sep 24, 2026</t>
        </is>
      </c>
      <c r="B43" s="12" t="n">
        <v>46258</v>
      </c>
      <c r="C43" s="12" t="n">
        <v>46260</v>
      </c>
      <c r="D43" s="2" t="inlineStr">
        <is>
          <t>P AND L FITNESS GYM SAN PEDRO PHL</t>
        </is>
      </c>
      <c r="E43" s="2" t="inlineStr">
        <is>
          <t>Gym</t>
        </is>
      </c>
      <c r="F43" s="13" t="inlineStr"/>
      <c r="G43" s="14" t="n">
        <v>11999</v>
      </c>
    </row>
    <row r="44">
      <c r="A44" s="2" t="inlineStr">
        <is>
          <t>Sep 24, 2026</t>
        </is>
      </c>
      <c r="B44" s="12" t="n">
        <v>46258</v>
      </c>
      <c r="C44" s="12" t="n">
        <v>46260</v>
      </c>
      <c r="D44" s="2" t="inlineStr">
        <is>
          <t>SHOPEE PH MANDALUYONG PHL</t>
        </is>
      </c>
      <c r="E44" s="2" t="inlineStr">
        <is>
          <t>Shopee</t>
        </is>
      </c>
      <c r="F44" s="13" t="inlineStr"/>
      <c r="G44" s="14" t="n">
        <v>532</v>
      </c>
    </row>
    <row r="45">
      <c r="A45" s="2" t="inlineStr">
        <is>
          <t>Sep 24, 2026</t>
        </is>
      </c>
      <c r="B45" s="12" t="n">
        <v>46258</v>
      </c>
      <c r="C45" s="12" t="n">
        <v>46260</v>
      </c>
      <c r="D45" s="2" t="inlineStr">
        <is>
          <t>SHOPEE PH MANDALUYONG PHL</t>
        </is>
      </c>
      <c r="E45" s="2" t="inlineStr">
        <is>
          <t>Shopee</t>
        </is>
      </c>
      <c r="F45" s="13" t="inlineStr"/>
      <c r="G45" s="14" t="n">
        <v>1995</v>
      </c>
    </row>
    <row r="46">
      <c r="A46" s="2" t="inlineStr">
        <is>
          <t>Sep 24, 2026</t>
        </is>
      </c>
      <c r="B46" s="12" t="n">
        <v>46258</v>
      </c>
      <c r="C46" s="12" t="n">
        <v>46260</v>
      </c>
      <c r="D46" s="2" t="inlineStr">
        <is>
          <t>SHOPEE PH MANDALUYONG PHL</t>
        </is>
      </c>
      <c r="E46" s="2" t="inlineStr">
        <is>
          <t>Shopee</t>
        </is>
      </c>
      <c r="F46" s="13" t="inlineStr"/>
      <c r="G46" s="14" t="n">
        <v>671</v>
      </c>
    </row>
    <row r="47">
      <c r="A47" s="2" t="inlineStr">
        <is>
          <t>Sep 24, 2026</t>
        </is>
      </c>
      <c r="B47" s="12" t="n">
        <v>46258</v>
      </c>
      <c r="C47" s="12" t="n">
        <v>46260</v>
      </c>
      <c r="D47" s="2" t="inlineStr">
        <is>
          <t>SHOPEE PH MANDALUYONG PHL</t>
        </is>
      </c>
      <c r="E47" s="2" t="inlineStr">
        <is>
          <t>Shopee</t>
        </is>
      </c>
      <c r="F47" s="13" t="inlineStr"/>
      <c r="G47" s="14" t="n">
        <v>1995</v>
      </c>
    </row>
    <row r="48">
      <c r="A48" s="2" t="inlineStr">
        <is>
          <t>Sep 24, 2026</t>
        </is>
      </c>
      <c r="B48" s="12" t="n">
        <v>46258</v>
      </c>
      <c r="C48" s="12" t="n">
        <v>46260</v>
      </c>
      <c r="D48" s="2" t="inlineStr">
        <is>
          <t>SHOPEE PH MANDALUYONG PHL</t>
        </is>
      </c>
      <c r="E48" s="2" t="inlineStr">
        <is>
          <t>Shopee</t>
        </is>
      </c>
      <c r="F48" s="13" t="inlineStr"/>
      <c r="G48" s="14" t="n">
        <v>3816</v>
      </c>
    </row>
    <row r="49">
      <c r="A49" s="2" t="inlineStr">
        <is>
          <t>Sep 24, 2026</t>
        </is>
      </c>
      <c r="B49" s="12" t="n">
        <v>46258</v>
      </c>
      <c r="C49" s="12" t="n">
        <v>46260</v>
      </c>
      <c r="D49" s="2" t="inlineStr">
        <is>
          <t>SHOPEE PH MANDALUYONG PHL</t>
        </is>
      </c>
      <c r="E49" s="2" t="inlineStr">
        <is>
          <t>Shopee</t>
        </is>
      </c>
      <c r="F49" s="13" t="inlineStr"/>
      <c r="G49" s="14" t="n">
        <v>1390</v>
      </c>
    </row>
    <row r="50">
      <c r="A50" s="2" t="inlineStr">
        <is>
          <t>Sep 24, 2026</t>
        </is>
      </c>
      <c r="B50" s="12" t="n">
        <v>46259</v>
      </c>
      <c r="C50" s="12" t="n">
        <v>46261</v>
      </c>
      <c r="D50" s="2" t="inlineStr">
        <is>
          <t>SHOPEE PH MANDALUYONG PHL</t>
        </is>
      </c>
      <c r="E50" s="2" t="inlineStr">
        <is>
          <t>Shopee</t>
        </is>
      </c>
      <c r="F50" s="13" t="inlineStr"/>
      <c r="G50" s="14" t="n">
        <v>916</v>
      </c>
    </row>
    <row r="51">
      <c r="A51" s="2" t="inlineStr">
        <is>
          <t>Sep 24, 2026</t>
        </is>
      </c>
      <c r="B51" s="12" t="n">
        <v>46259</v>
      </c>
      <c r="C51" s="12" t="n">
        <v>46261</v>
      </c>
      <c r="D51" s="2" t="inlineStr">
        <is>
          <t>SHOPEE PH MANDALUYONG PHL</t>
        </is>
      </c>
      <c r="E51" s="2" t="inlineStr">
        <is>
          <t>Shopee</t>
        </is>
      </c>
      <c r="F51" s="13" t="inlineStr"/>
      <c r="G51" s="14" t="n">
        <v>5039</v>
      </c>
    </row>
    <row r="52">
      <c r="A52" s="2" t="inlineStr">
        <is>
          <t>Sep 24, 2026</t>
        </is>
      </c>
      <c r="B52" s="12" t="n">
        <v>46259</v>
      </c>
      <c r="C52" s="12" t="n">
        <v>46261</v>
      </c>
      <c r="D52" s="2" t="inlineStr">
        <is>
          <t>SHOPEE PH MANDALUYONG PHL</t>
        </is>
      </c>
      <c r="E52" s="2" t="inlineStr">
        <is>
          <t>Shopee</t>
        </is>
      </c>
      <c r="F52" s="13" t="inlineStr"/>
      <c r="G52" s="14" t="n">
        <v>7401</v>
      </c>
    </row>
    <row r="53">
      <c r="A53" s="2" t="inlineStr">
        <is>
          <t>Sep 24, 2026</t>
        </is>
      </c>
      <c r="B53" s="12" t="n">
        <v>46259</v>
      </c>
      <c r="C53" s="12" t="n">
        <v>46260</v>
      </c>
      <c r="D53" s="2" t="inlineStr">
        <is>
          <t>SHOPEE PH MANDALUYONG PHL</t>
        </is>
      </c>
      <c r="E53" s="2" t="inlineStr">
        <is>
          <t>Refund/Credit</t>
        </is>
      </c>
      <c r="F53" s="13" t="inlineStr"/>
      <c r="G53" s="14" t="n">
        <v>-102</v>
      </c>
    </row>
    <row r="54">
      <c r="A54" s="2" t="inlineStr">
        <is>
          <t>Sep 24, 2026</t>
        </is>
      </c>
      <c r="B54" s="12" t="n">
        <v>46259</v>
      </c>
      <c r="C54" s="12" t="n">
        <v>46260</v>
      </c>
      <c r="D54" s="2" t="inlineStr">
        <is>
          <t>SHOPEE PH MANDALUYONG PHL</t>
        </is>
      </c>
      <c r="E54" s="2" t="inlineStr">
        <is>
          <t>Refund/Credit</t>
        </is>
      </c>
      <c r="F54" s="13" t="inlineStr"/>
      <c r="G54" s="14" t="n">
        <v>-103</v>
      </c>
    </row>
    <row r="55">
      <c r="A55" s="2" t="inlineStr">
        <is>
          <t>Sep 24, 2026</t>
        </is>
      </c>
      <c r="B55" s="12" t="n">
        <v>46260</v>
      </c>
      <c r="C55" s="12" t="n">
        <v>46260</v>
      </c>
      <c r="D55" s="2" t="inlineStr">
        <is>
          <t>LAZADA PH TAGUIG PH</t>
        </is>
      </c>
      <c r="E55" s="2" t="inlineStr">
        <is>
          <t>Lazada</t>
        </is>
      </c>
      <c r="F55" s="13" t="inlineStr">
        <is>
          <t>20260825902700021629931</t>
        </is>
      </c>
      <c r="G55" s="14" t="n">
        <v>4185.12</v>
      </c>
    </row>
    <row r="56">
      <c r="A56" s="2" t="inlineStr">
        <is>
          <t>Sep 24, 2026</t>
        </is>
      </c>
      <c r="B56" s="12" t="n">
        <v>46260</v>
      </c>
      <c r="C56" s="12" t="n">
        <v>46264</v>
      </c>
      <c r="D56" s="2" t="inlineStr">
        <is>
          <t>SHOPEE PH MANDALUYONG PHL</t>
        </is>
      </c>
      <c r="E56" s="2" t="inlineStr">
        <is>
          <t>Shopee</t>
        </is>
      </c>
      <c r="F56" s="13" t="inlineStr"/>
      <c r="G56" s="14" t="n">
        <v>304</v>
      </c>
    </row>
    <row r="57">
      <c r="A57" s="2" t="inlineStr">
        <is>
          <t>Sep 24, 2026</t>
        </is>
      </c>
      <c r="B57" s="12" t="n">
        <v>46260</v>
      </c>
      <c r="C57" s="12" t="n">
        <v>46264</v>
      </c>
      <c r="D57" s="2" t="inlineStr">
        <is>
          <t>SHOPEE PH MANDALUYONG PHL</t>
        </is>
      </c>
      <c r="E57" s="2" t="inlineStr">
        <is>
          <t>Shopee</t>
        </is>
      </c>
      <c r="F57" s="13" t="inlineStr"/>
      <c r="G57" s="14" t="n">
        <v>528</v>
      </c>
    </row>
    <row r="58">
      <c r="A58" s="2" t="inlineStr">
        <is>
          <t>Sep 24, 2026</t>
        </is>
      </c>
      <c r="B58" s="12" t="n">
        <v>46260</v>
      </c>
      <c r="C58" s="12" t="n">
        <v>46264</v>
      </c>
      <c r="D58" s="2" t="inlineStr">
        <is>
          <t>SHOPEE PH MANDALUYONG PHL</t>
        </is>
      </c>
      <c r="E58" s="2" t="inlineStr">
        <is>
          <t>Shopee</t>
        </is>
      </c>
      <c r="F58" s="13" t="inlineStr"/>
      <c r="G58" s="14" t="n">
        <v>304</v>
      </c>
    </row>
    <row r="59">
      <c r="A59" s="2" t="inlineStr">
        <is>
          <t>Sep 24, 2026</t>
        </is>
      </c>
      <c r="B59" s="12" t="n">
        <v>46261</v>
      </c>
      <c r="C59" s="12" t="n">
        <v>46264</v>
      </c>
      <c r="D59" s="2" t="inlineStr">
        <is>
          <t>SHOPEE PH MANDALUYONG PHL</t>
        </is>
      </c>
      <c r="E59" s="2" t="inlineStr">
        <is>
          <t>Shopee</t>
        </is>
      </c>
      <c r="F59" s="13" t="inlineStr"/>
      <c r="G59" s="14" t="n">
        <v>304</v>
      </c>
    </row>
    <row r="60">
      <c r="A60" s="2" t="inlineStr">
        <is>
          <t>Sep 24, 2026</t>
        </is>
      </c>
      <c r="B60" s="12" t="n">
        <v>46261</v>
      </c>
      <c r="C60" s="12" t="n">
        <v>46264</v>
      </c>
      <c r="D60" s="2" t="inlineStr">
        <is>
          <t>SHOPEE PH MANDALUYONG PHL</t>
        </is>
      </c>
      <c r="E60" s="2" t="inlineStr">
        <is>
          <t>Shopee</t>
        </is>
      </c>
      <c r="F60" s="13" t="inlineStr"/>
      <c r="G60" s="14" t="n">
        <v>144</v>
      </c>
    </row>
    <row r="61">
      <c r="A61" s="2" t="inlineStr">
        <is>
          <t>Sep 24, 2026</t>
        </is>
      </c>
      <c r="B61" s="12" t="n">
        <v>46261</v>
      </c>
      <c r="C61" s="12" t="n">
        <v>46264</v>
      </c>
      <c r="D61" s="2" t="inlineStr">
        <is>
          <t>SHOPEE PH MANDALUYONG PHL</t>
        </is>
      </c>
      <c r="E61" s="2" t="inlineStr">
        <is>
          <t>Shopee</t>
        </is>
      </c>
      <c r="F61" s="13" t="inlineStr"/>
      <c r="G61" s="14" t="n">
        <v>304</v>
      </c>
    </row>
    <row r="62">
      <c r="A62" s="2" t="inlineStr">
        <is>
          <t>Sep 24, 2026</t>
        </is>
      </c>
      <c r="B62" s="12" t="n">
        <v>46261</v>
      </c>
      <c r="C62" s="12" t="n">
        <v>46264</v>
      </c>
      <c r="D62" s="2" t="inlineStr">
        <is>
          <t>SHOPEE PH MANDALUYONG PHL</t>
        </is>
      </c>
      <c r="E62" s="2" t="inlineStr">
        <is>
          <t>Refund/Credit</t>
        </is>
      </c>
      <c r="F62" s="13" t="inlineStr"/>
      <c r="G62" s="14" t="n">
        <v>-1995</v>
      </c>
    </row>
    <row r="63">
      <c r="A63" s="2" t="inlineStr">
        <is>
          <t>Sep 24, 2026</t>
        </is>
      </c>
      <c r="B63" s="12" t="n">
        <v>46261</v>
      </c>
      <c r="C63" s="12" t="n">
        <v>46264</v>
      </c>
      <c r="D63" s="2" t="inlineStr">
        <is>
          <t>SHOPEE PH MANDALUYONG PHL</t>
        </is>
      </c>
      <c r="E63" s="2" t="inlineStr">
        <is>
          <t>Refund/Credit</t>
        </is>
      </c>
      <c r="F63" s="13" t="inlineStr"/>
      <c r="G63" s="14" t="n">
        <v>-1995</v>
      </c>
    </row>
    <row r="64">
      <c r="A64" s="2" t="inlineStr">
        <is>
          <t>Sep 24, 2026</t>
        </is>
      </c>
      <c r="B64" s="12" t="n">
        <v>46262</v>
      </c>
      <c r="C64" s="12" t="n">
        <v>46264</v>
      </c>
      <c r="D64" s="2" t="inlineStr">
        <is>
          <t>LANDMARK ALABANG DEPAR MUNTINLUPA PHL</t>
        </is>
      </c>
      <c r="E64" s="2" t="inlineStr">
        <is>
          <t>Shopping (retail)</t>
        </is>
      </c>
      <c r="F64" s="13" t="inlineStr"/>
      <c r="G64" s="14" t="n">
        <v>10340.26</v>
      </c>
    </row>
    <row r="65">
      <c r="A65" s="2" t="inlineStr">
        <is>
          <t>Sep 24, 2026</t>
        </is>
      </c>
      <c r="B65" s="12" t="n">
        <v>46262</v>
      </c>
      <c r="C65" s="12" t="n">
        <v>46264</v>
      </c>
      <c r="D65" s="2" t="inlineStr">
        <is>
          <t>LANDMARK ALABANG SUPER MUNTINLUPA PHL</t>
        </is>
      </c>
      <c r="E65" s="2" t="inlineStr">
        <is>
          <t>Shopping (retail)</t>
        </is>
      </c>
      <c r="F65" s="13" t="inlineStr"/>
      <c r="G65" s="14" t="n">
        <v>618.75</v>
      </c>
    </row>
    <row r="66">
      <c r="A66" s="2" t="inlineStr">
        <is>
          <t>Sep 24, 2026</t>
        </is>
      </c>
      <c r="B66" s="12" t="n">
        <v>46262</v>
      </c>
      <c r="C66" s="12" t="n">
        <v>46264</v>
      </c>
      <c r="D66" s="2" t="inlineStr">
        <is>
          <t>SHOPEE PH MANDALUYONG PHL</t>
        </is>
      </c>
      <c r="E66" s="2" t="inlineStr">
        <is>
          <t>Shopee</t>
        </is>
      </c>
      <c r="F66" s="13" t="inlineStr"/>
      <c r="G66" s="14" t="n">
        <v>511</v>
      </c>
    </row>
    <row r="67">
      <c r="A67" s="2" t="inlineStr">
        <is>
          <t>Sep 24, 2026</t>
        </is>
      </c>
      <c r="B67" s="12" t="n">
        <v>46262</v>
      </c>
      <c r="C67" s="12" t="n">
        <v>46264</v>
      </c>
      <c r="D67" s="2" t="inlineStr">
        <is>
          <t>SHOPEE PH MANDALUYONG PHL</t>
        </is>
      </c>
      <c r="E67" s="2" t="inlineStr">
        <is>
          <t>Shopee</t>
        </is>
      </c>
      <c r="F67" s="13" t="inlineStr"/>
      <c r="G67" s="14" t="n">
        <v>312</v>
      </c>
    </row>
    <row r="68">
      <c r="A68" s="2" t="inlineStr">
        <is>
          <t>Sep 24, 2026</t>
        </is>
      </c>
      <c r="B68" s="12" t="n">
        <v>46262</v>
      </c>
      <c r="C68" s="12" t="n">
        <v>46264</v>
      </c>
      <c r="D68" s="2" t="inlineStr">
        <is>
          <t>SHOPEE PH MANDALUYONG PHL</t>
        </is>
      </c>
      <c r="E68" s="2" t="inlineStr">
        <is>
          <t>Shopee</t>
        </is>
      </c>
      <c r="F68" s="13" t="inlineStr"/>
      <c r="G68" s="14" t="n">
        <v>511</v>
      </c>
    </row>
    <row r="69">
      <c r="A69" s="2" t="inlineStr">
        <is>
          <t>Sep 24, 2026</t>
        </is>
      </c>
      <c r="B69" s="12" t="n">
        <v>46262</v>
      </c>
      <c r="C69" s="12" t="n">
        <v>46264</v>
      </c>
      <c r="D69" s="2" t="inlineStr">
        <is>
          <t>SHOPEE PH MANDALUYONG PHL</t>
        </is>
      </c>
      <c r="E69" s="2" t="inlineStr">
        <is>
          <t>Refund/Credit</t>
        </is>
      </c>
      <c r="F69" s="13" t="inlineStr"/>
      <c r="G69" s="14" t="n">
        <v>-953</v>
      </c>
    </row>
    <row r="70">
      <c r="A70" s="2" t="inlineStr">
        <is>
          <t>Sep 24, 2026</t>
        </is>
      </c>
      <c r="B70" s="12" t="n">
        <v>46262</v>
      </c>
      <c r="C70" s="12" t="n">
        <v>46264</v>
      </c>
      <c r="D70" s="2" t="inlineStr">
        <is>
          <t>SHOPEE PH MANDALUYONG PHL</t>
        </is>
      </c>
      <c r="E70" s="2" t="inlineStr">
        <is>
          <t>Refund/Credit</t>
        </is>
      </c>
      <c r="F70" s="13" t="inlineStr"/>
      <c r="G70" s="14" t="n">
        <v>-263</v>
      </c>
    </row>
    <row r="71">
      <c r="A71" s="2" t="inlineStr">
        <is>
          <t>Sep 24, 2026</t>
        </is>
      </c>
      <c r="B71" s="12" t="n">
        <v>46262</v>
      </c>
      <c r="C71" s="12" t="n">
        <v>46264</v>
      </c>
      <c r="D71" s="2" t="inlineStr">
        <is>
          <t>SHOPEE PH MANDALUYONG PHL</t>
        </is>
      </c>
      <c r="E71" s="2" t="inlineStr">
        <is>
          <t>Refund/Credit</t>
        </is>
      </c>
      <c r="F71" s="13" t="inlineStr"/>
      <c r="G71" s="14" t="n">
        <v>-1090</v>
      </c>
    </row>
    <row r="72">
      <c r="A72" s="2" t="inlineStr">
        <is>
          <t>Sep 24, 2026</t>
        </is>
      </c>
      <c r="B72" s="12" t="n">
        <v>46263</v>
      </c>
      <c r="C72" s="12" t="n">
        <v>46265</v>
      </c>
      <c r="D72" s="2" t="inlineStr">
        <is>
          <t>SHOPEE PH MANDALUYONG PHL</t>
        </is>
      </c>
      <c r="E72" s="2" t="inlineStr">
        <is>
          <t>Shopee</t>
        </is>
      </c>
      <c r="F72" s="13" t="inlineStr"/>
      <c r="G72" s="14" t="n">
        <v>1077</v>
      </c>
    </row>
    <row r="73">
      <c r="A73" s="2" t="inlineStr">
        <is>
          <t>Sep 24, 2026</t>
        </is>
      </c>
      <c r="B73" s="12" t="n">
        <v>46263</v>
      </c>
      <c r="C73" s="12" t="n">
        <v>46265</v>
      </c>
      <c r="D73" s="2" t="inlineStr">
        <is>
          <t>SHOPEE PH MANDALUYONG PHL</t>
        </is>
      </c>
      <c r="E73" s="2" t="inlineStr">
        <is>
          <t>Shopee</t>
        </is>
      </c>
      <c r="F73" s="13" t="inlineStr"/>
      <c r="G73" s="14" t="n">
        <v>5951</v>
      </c>
    </row>
    <row r="74">
      <c r="A74" s="2" t="inlineStr">
        <is>
          <t>Sep 24, 2026</t>
        </is>
      </c>
      <c r="B74" s="12" t="n">
        <v>46263</v>
      </c>
      <c r="C74" s="12" t="n">
        <v>46265</v>
      </c>
      <c r="D74" s="2" t="inlineStr">
        <is>
          <t>SHOPEE PH MANDALUYONG PHL</t>
        </is>
      </c>
      <c r="E74" s="2" t="inlineStr">
        <is>
          <t>Shopee</t>
        </is>
      </c>
      <c r="F74" s="13" t="inlineStr"/>
      <c r="G74" s="14" t="n">
        <v>215</v>
      </c>
    </row>
    <row r="75">
      <c r="A75" s="2" t="inlineStr">
        <is>
          <t>Sep 24, 2026</t>
        </is>
      </c>
      <c r="B75" s="12" t="n">
        <v>46263</v>
      </c>
      <c r="C75" s="12" t="n">
        <v>46265</v>
      </c>
      <c r="D75" s="2" t="inlineStr">
        <is>
          <t>SHOPEE PH MANDALUYONG PHL</t>
        </is>
      </c>
      <c r="E75" s="2" t="inlineStr">
        <is>
          <t>Shopee</t>
        </is>
      </c>
      <c r="F75" s="13" t="inlineStr"/>
      <c r="G75" s="14" t="n">
        <v>361</v>
      </c>
    </row>
    <row r="76">
      <c r="A76" s="2" t="inlineStr">
        <is>
          <t>Sep 24, 2026</t>
        </is>
      </c>
      <c r="B76" s="12" t="n">
        <v>46263</v>
      </c>
      <c r="C76" s="12" t="n">
        <v>46265</v>
      </c>
      <c r="D76" s="2" t="inlineStr">
        <is>
          <t>SHOPEE PH MANDALUYONG PHL</t>
        </is>
      </c>
      <c r="E76" s="2" t="inlineStr">
        <is>
          <t>Shopee</t>
        </is>
      </c>
      <c r="F76" s="13" t="inlineStr"/>
      <c r="G76" s="14" t="n">
        <v>8303</v>
      </c>
    </row>
    <row r="77">
      <c r="A77" s="2" t="inlineStr">
        <is>
          <t>Sep 24, 2026</t>
        </is>
      </c>
      <c r="B77" s="12" t="n">
        <v>46263</v>
      </c>
      <c r="C77" s="12" t="n">
        <v>46265</v>
      </c>
      <c r="D77" s="2" t="inlineStr">
        <is>
          <t>SHOPEE PH MANDALUYONG PHL</t>
        </is>
      </c>
      <c r="E77" s="2" t="inlineStr">
        <is>
          <t>Shopee</t>
        </is>
      </c>
      <c r="F77" s="13" t="inlineStr"/>
      <c r="G77" s="14" t="n">
        <v>451</v>
      </c>
    </row>
    <row r="78">
      <c r="A78" s="2" t="inlineStr">
        <is>
          <t>Sep 24, 2026</t>
        </is>
      </c>
      <c r="B78" s="12" t="n">
        <v>46263</v>
      </c>
      <c r="C78" s="12" t="n">
        <v>46265</v>
      </c>
      <c r="D78" s="2" t="inlineStr">
        <is>
          <t>SHOPEE PH MANDALUYONG PHL</t>
        </is>
      </c>
      <c r="E78" s="2" t="inlineStr">
        <is>
          <t>Shopee</t>
        </is>
      </c>
      <c r="F78" s="13" t="inlineStr"/>
      <c r="G78" s="14" t="n">
        <v>306</v>
      </c>
    </row>
    <row r="79">
      <c r="A79" s="2" t="inlineStr">
        <is>
          <t>Sep 24, 2026</t>
        </is>
      </c>
      <c r="B79" s="12" t="n">
        <v>46264</v>
      </c>
      <c r="C79" s="12" t="n">
        <v>46266</v>
      </c>
      <c r="D79" s="2" t="inlineStr">
        <is>
          <t>SHOPEE PH MANDALUYONG PHL</t>
        </is>
      </c>
      <c r="E79" s="2" t="inlineStr">
        <is>
          <t>Shopee</t>
        </is>
      </c>
      <c r="F79" s="13" t="inlineStr"/>
      <c r="G79" s="14" t="n">
        <v>369</v>
      </c>
    </row>
    <row r="80">
      <c r="A80" s="2" t="inlineStr">
        <is>
          <t>Sep 24, 2026</t>
        </is>
      </c>
      <c r="B80" s="12" t="n">
        <v>46264</v>
      </c>
      <c r="C80" s="12" t="n">
        <v>46265</v>
      </c>
      <c r="D80" s="2" t="inlineStr">
        <is>
          <t>SHOPEE PH MANDALUYONG PHL</t>
        </is>
      </c>
      <c r="E80" s="2" t="inlineStr">
        <is>
          <t>Refund/Credit</t>
        </is>
      </c>
      <c r="F80" s="13" t="inlineStr"/>
      <c r="G80" s="14" t="n">
        <v>-582</v>
      </c>
    </row>
    <row r="81">
      <c r="A81" s="2" t="inlineStr">
        <is>
          <t>Sep 24, 2026</t>
        </is>
      </c>
      <c r="B81" s="12" t="n">
        <v>46265</v>
      </c>
      <c r="C81" s="12" t="n">
        <v>46267</v>
      </c>
      <c r="D81" s="2" t="inlineStr">
        <is>
          <t>SHOPEE PH MANDALUYONG PHL</t>
        </is>
      </c>
      <c r="E81" s="2" t="inlineStr">
        <is>
          <t>Shopee</t>
        </is>
      </c>
      <c r="F81" s="13" t="inlineStr"/>
      <c r="G81" s="14" t="n">
        <v>319</v>
      </c>
    </row>
    <row r="82">
      <c r="A82" s="2" t="inlineStr">
        <is>
          <t>Sep 24, 2026</t>
        </is>
      </c>
      <c r="B82" s="12" t="n">
        <v>46265</v>
      </c>
      <c r="C82" s="12" t="n">
        <v>46267</v>
      </c>
      <c r="D82" s="2" t="inlineStr">
        <is>
          <t>SHOPEE PH MANDALUYONG PHL</t>
        </is>
      </c>
      <c r="E82" s="2" t="inlineStr">
        <is>
          <t>Shopee</t>
        </is>
      </c>
      <c r="F82" s="13" t="inlineStr"/>
      <c r="G82" s="14" t="n">
        <v>495</v>
      </c>
    </row>
    <row r="83">
      <c r="A83" s="2" t="inlineStr">
        <is>
          <t>Sep 24, 2026</t>
        </is>
      </c>
      <c r="B83" s="12" t="n">
        <v>46265</v>
      </c>
      <c r="C83" s="12" t="n">
        <v>46267</v>
      </c>
      <c r="D83" s="2" t="inlineStr">
        <is>
          <t>SHOPEE PH MANDALUYONG PHL</t>
        </is>
      </c>
      <c r="E83" s="2" t="inlineStr">
        <is>
          <t>Shopee</t>
        </is>
      </c>
      <c r="F83" s="13" t="inlineStr"/>
      <c r="G83" s="14" t="n">
        <v>403</v>
      </c>
    </row>
    <row r="84">
      <c r="A84" s="2" t="inlineStr">
        <is>
          <t>Sep 24, 2026</t>
        </is>
      </c>
      <c r="B84" s="12" t="n">
        <v>46265</v>
      </c>
      <c r="C84" s="12" t="n">
        <v>46267</v>
      </c>
      <c r="D84" s="2" t="inlineStr">
        <is>
          <t>SHOPEE PH MANDALUYONG PHL</t>
        </is>
      </c>
      <c r="E84" s="2" t="inlineStr">
        <is>
          <t>Shopee</t>
        </is>
      </c>
      <c r="F84" s="13" t="inlineStr"/>
      <c r="G84" s="14" t="n">
        <v>2165</v>
      </c>
    </row>
    <row r="85">
      <c r="A85" s="2" t="inlineStr">
        <is>
          <t>Sep 24, 2026</t>
        </is>
      </c>
      <c r="B85" s="12" t="n">
        <v>46265</v>
      </c>
      <c r="C85" s="12" t="n">
        <v>46267</v>
      </c>
      <c r="D85" s="2" t="inlineStr">
        <is>
          <t>SHOPEE PH MANDALUYONG PHL</t>
        </is>
      </c>
      <c r="E85" s="2" t="inlineStr">
        <is>
          <t>Shopee</t>
        </is>
      </c>
      <c r="F85" s="13" t="inlineStr"/>
      <c r="G85" s="14" t="n">
        <v>3790</v>
      </c>
    </row>
    <row r="86">
      <c r="A86" s="2" t="inlineStr">
        <is>
          <t>Sep 24, 2026</t>
        </is>
      </c>
      <c r="B86" s="12" t="n">
        <v>46265</v>
      </c>
      <c r="C86" s="12" t="n">
        <v>46267</v>
      </c>
      <c r="D86" s="2" t="inlineStr">
        <is>
          <t>SHOPEE PH MANDALUYONG PHL</t>
        </is>
      </c>
      <c r="E86" s="2" t="inlineStr">
        <is>
          <t>Shopee</t>
        </is>
      </c>
      <c r="F86" s="13" t="inlineStr"/>
      <c r="G86" s="14" t="n">
        <v>534</v>
      </c>
    </row>
    <row r="87">
      <c r="A87" s="2" t="inlineStr">
        <is>
          <t>Sep 24, 2026</t>
        </is>
      </c>
      <c r="B87" s="12" t="n">
        <v>46265</v>
      </c>
      <c r="C87" s="12" t="n">
        <v>46267</v>
      </c>
      <c r="D87" s="2" t="inlineStr">
        <is>
          <t>SHOPEE PH MANDALUYONG PHL</t>
        </is>
      </c>
      <c r="E87" s="2" t="inlineStr">
        <is>
          <t>Refund/Credit</t>
        </is>
      </c>
      <c r="F87" s="13" t="inlineStr"/>
      <c r="G87" s="14" t="n">
        <v>-202</v>
      </c>
    </row>
    <row r="88">
      <c r="A88" s="2" t="inlineStr">
        <is>
          <t>Sep 24, 2026</t>
        </is>
      </c>
      <c r="B88" s="12" t="n">
        <v>46265</v>
      </c>
      <c r="C88" s="12" t="n">
        <v>46266</v>
      </c>
      <c r="D88" s="2" t="inlineStr">
        <is>
          <t>SHOPEE PH MANDALUYONG PHL</t>
        </is>
      </c>
      <c r="E88" s="2" t="inlineStr">
        <is>
          <t>Refund/Credit</t>
        </is>
      </c>
      <c r="F88" s="13" t="inlineStr"/>
      <c r="G88" s="14" t="n">
        <v>-104</v>
      </c>
    </row>
    <row r="89">
      <c r="A89" s="2" t="inlineStr">
        <is>
          <t>Sep 24, 2026</t>
        </is>
      </c>
      <c r="B89" s="12" t="n">
        <v>46266</v>
      </c>
      <c r="C89" s="12" t="n">
        <v>46268</v>
      </c>
      <c r="D89" s="2" t="inlineStr">
        <is>
          <t>SHOPEE PH MANDALUYONG PHL</t>
        </is>
      </c>
      <c r="E89" s="2" t="inlineStr">
        <is>
          <t>Shopee</t>
        </is>
      </c>
      <c r="F89" s="13" t="inlineStr"/>
      <c r="G89" s="14" t="n">
        <v>489</v>
      </c>
    </row>
    <row r="90">
      <c r="A90" s="2" t="inlineStr">
        <is>
          <t>Sep 24, 2026</t>
        </is>
      </c>
      <c r="B90" s="12" t="n">
        <v>46266</v>
      </c>
      <c r="C90" s="12" t="n">
        <v>46268</v>
      </c>
      <c r="D90" s="2" t="inlineStr">
        <is>
          <t>SHOPEE PH MANDALUYONG PHL</t>
        </is>
      </c>
      <c r="E90" s="2" t="inlineStr">
        <is>
          <t>Shopee</t>
        </is>
      </c>
      <c r="F90" s="13" t="inlineStr"/>
      <c r="G90" s="14" t="n">
        <v>349</v>
      </c>
    </row>
    <row r="91">
      <c r="A91" s="2" t="inlineStr">
        <is>
          <t>Sep 24, 2026</t>
        </is>
      </c>
      <c r="B91" s="12" t="n">
        <v>46266</v>
      </c>
      <c r="C91" s="12" t="n">
        <v>46268</v>
      </c>
      <c r="D91" s="2" t="inlineStr">
        <is>
          <t>SHOPEE PH MANDALUYONG PHL</t>
        </is>
      </c>
      <c r="E91" s="2" t="inlineStr">
        <is>
          <t>Shopee</t>
        </is>
      </c>
      <c r="F91" s="13" t="inlineStr"/>
      <c r="G91" s="14" t="n">
        <v>563</v>
      </c>
    </row>
    <row r="92">
      <c r="A92" s="2" t="inlineStr">
        <is>
          <t>Sep 24, 2026</t>
        </is>
      </c>
      <c r="B92" s="12" t="n">
        <v>46266</v>
      </c>
      <c r="C92" s="12" t="n">
        <v>46268</v>
      </c>
      <c r="D92" s="2" t="inlineStr">
        <is>
          <t>SHOPEE PH MANDALUYONG PHL</t>
        </is>
      </c>
      <c r="E92" s="2" t="inlineStr">
        <is>
          <t>Shopee</t>
        </is>
      </c>
      <c r="F92" s="13" t="inlineStr"/>
      <c r="G92" s="14" t="n">
        <v>349</v>
      </c>
    </row>
    <row r="93">
      <c r="A93" s="2" t="inlineStr">
        <is>
          <t>Sep 24, 2026</t>
        </is>
      </c>
      <c r="B93" s="12" t="n">
        <v>46266</v>
      </c>
      <c r="C93" s="12" t="n">
        <v>46268</v>
      </c>
      <c r="D93" s="2" t="inlineStr">
        <is>
          <t>SHOPEE PH MANDALUYONG PHL</t>
        </is>
      </c>
      <c r="E93" s="2" t="inlineStr">
        <is>
          <t>Shopee</t>
        </is>
      </c>
      <c r="F93" s="13" t="inlineStr"/>
      <c r="G93" s="14" t="n">
        <v>349</v>
      </c>
    </row>
    <row r="94">
      <c r="A94" s="2" t="inlineStr">
        <is>
          <t>Sep 24, 2026</t>
        </is>
      </c>
      <c r="B94" s="12" t="n">
        <v>46266</v>
      </c>
      <c r="C94" s="12" t="n">
        <v>46282</v>
      </c>
      <c r="D94" s="2" t="inlineStr">
        <is>
          <t>PLDT AUTOCHARGE MAKATI CITY PH</t>
        </is>
      </c>
      <c r="E94" s="2" t="inlineStr">
        <is>
          <t>Utilities/Bills</t>
        </is>
      </c>
      <c r="F94" s="13" t="inlineStr">
        <is>
          <t>0376499375</t>
        </is>
      </c>
      <c r="G94" s="14" t="n">
        <v>1699.01</v>
      </c>
    </row>
    <row r="95">
      <c r="A95" s="2" t="inlineStr">
        <is>
          <t>Sep 24, 2026</t>
        </is>
      </c>
      <c r="B95" s="12" t="n">
        <v>46266</v>
      </c>
      <c r="C95" s="12" t="n">
        <v>46267</v>
      </c>
      <c r="D95" s="2" t="inlineStr">
        <is>
          <t>SHOPEE PH MANDALUYONG PHL</t>
        </is>
      </c>
      <c r="E95" s="2" t="inlineStr">
        <is>
          <t>Refund/Credit</t>
        </is>
      </c>
      <c r="F95" s="13" t="inlineStr"/>
      <c r="G95" s="14" t="n">
        <v>-1318</v>
      </c>
    </row>
    <row r="96">
      <c r="A96" s="2" t="inlineStr">
        <is>
          <t>Sep 24, 2026</t>
        </is>
      </c>
      <c r="B96" s="12" t="n">
        <v>46266</v>
      </c>
      <c r="C96" s="12" t="n">
        <v>46267</v>
      </c>
      <c r="D96" s="2" t="inlineStr">
        <is>
          <t>SHOPEE PH MANDALUYONG PHL</t>
        </is>
      </c>
      <c r="E96" s="2" t="inlineStr">
        <is>
          <t>Refund/Credit</t>
        </is>
      </c>
      <c r="F96" s="13" t="inlineStr"/>
      <c r="G96" s="14" t="n">
        <v>-144</v>
      </c>
    </row>
    <row r="97">
      <c r="A97" s="2" t="inlineStr">
        <is>
          <t>Sep 24, 2026</t>
        </is>
      </c>
      <c r="B97" s="12" t="n">
        <v>46267</v>
      </c>
      <c r="C97" s="12" t="n">
        <v>46267</v>
      </c>
      <c r="D97" s="2" t="inlineStr">
        <is>
          <t>LAZADA PH TAGUIG PH</t>
        </is>
      </c>
      <c r="E97" s="2" t="inlineStr">
        <is>
          <t>Refund/Credit</t>
        </is>
      </c>
      <c r="F97" s="13" t="inlineStr">
        <is>
          <t>20260822908400021915909</t>
        </is>
      </c>
      <c r="G97" s="14" t="n">
        <v>-1150.02</v>
      </c>
    </row>
    <row r="98">
      <c r="A98" s="2" t="inlineStr">
        <is>
          <t>Sep 24, 2026</t>
        </is>
      </c>
      <c r="B98" s="12" t="n">
        <v>46267</v>
      </c>
      <c r="C98" s="12" t="n">
        <v>46271</v>
      </c>
      <c r="D98" s="2" t="inlineStr">
        <is>
          <t>SHOPEE PH MANDALUYONG PHL</t>
        </is>
      </c>
      <c r="E98" s="2" t="inlineStr">
        <is>
          <t>Shopee</t>
        </is>
      </c>
      <c r="F98" s="13" t="inlineStr"/>
      <c r="G98" s="14" t="n">
        <v>146</v>
      </c>
    </row>
    <row r="99">
      <c r="A99" s="2" t="inlineStr">
        <is>
          <t>Sep 24, 2026</t>
        </is>
      </c>
      <c r="B99" s="12" t="n">
        <v>46267</v>
      </c>
      <c r="C99" s="12" t="n">
        <v>46271</v>
      </c>
      <c r="D99" s="2" t="inlineStr">
        <is>
          <t>SHOPEE PH MANDALUYONG PHL</t>
        </is>
      </c>
      <c r="E99" s="2" t="inlineStr">
        <is>
          <t>Shopee</t>
        </is>
      </c>
      <c r="F99" s="13" t="inlineStr"/>
      <c r="G99" s="14" t="n">
        <v>380</v>
      </c>
    </row>
    <row r="100">
      <c r="A100" s="2" t="inlineStr">
        <is>
          <t>Sep 24, 2026</t>
        </is>
      </c>
      <c r="B100" s="12" t="n">
        <v>46267</v>
      </c>
      <c r="C100" s="12" t="n">
        <v>46271</v>
      </c>
      <c r="D100" s="2" t="inlineStr">
        <is>
          <t>SHOPEE PH MANDALUYONG PHL</t>
        </is>
      </c>
      <c r="E100" s="2" t="inlineStr">
        <is>
          <t>Shopee</t>
        </is>
      </c>
      <c r="F100" s="13" t="inlineStr"/>
      <c r="G100" s="14" t="n">
        <v>161</v>
      </c>
    </row>
    <row r="101">
      <c r="A101" s="2" t="inlineStr">
        <is>
          <t>Sep 24, 2026</t>
        </is>
      </c>
      <c r="B101" s="12" t="n">
        <v>46267</v>
      </c>
      <c r="C101" s="12" t="n">
        <v>46271</v>
      </c>
      <c r="D101" s="2" t="inlineStr">
        <is>
          <t>SHOPEE PH MANDALUYONG PHL</t>
        </is>
      </c>
      <c r="E101" s="2" t="inlineStr">
        <is>
          <t>Shopee</t>
        </is>
      </c>
      <c r="F101" s="13" t="inlineStr"/>
      <c r="G101" s="14" t="n">
        <v>916</v>
      </c>
    </row>
    <row r="102">
      <c r="A102" s="2" t="inlineStr">
        <is>
          <t>Sep 24, 2026</t>
        </is>
      </c>
      <c r="B102" s="12" t="n">
        <v>46267</v>
      </c>
      <c r="C102" s="12" t="n">
        <v>46268</v>
      </c>
      <c r="D102" s="2" t="inlineStr">
        <is>
          <t>SHOPEE PH MANDALUYONG PHL</t>
        </is>
      </c>
      <c r="E102" s="2" t="inlineStr">
        <is>
          <t>Refund/Credit</t>
        </is>
      </c>
      <c r="F102" s="13" t="inlineStr"/>
      <c r="G102" s="14" t="n">
        <v>-319</v>
      </c>
    </row>
    <row r="103">
      <c r="A103" s="2" t="inlineStr">
        <is>
          <t>Sep 24, 2026</t>
        </is>
      </c>
      <c r="B103" s="12" t="n">
        <v>46268</v>
      </c>
      <c r="C103" s="12" t="n">
        <v>46271</v>
      </c>
      <c r="D103" s="2" t="inlineStr">
        <is>
          <t>SHOPEE PH MANDALUYONG PHL</t>
        </is>
      </c>
      <c r="E103" s="2" t="inlineStr">
        <is>
          <t>Shopee</t>
        </is>
      </c>
      <c r="F103" s="13" t="inlineStr"/>
      <c r="G103" s="14" t="n">
        <v>308</v>
      </c>
    </row>
    <row r="104">
      <c r="A104" s="2" t="inlineStr">
        <is>
          <t>Sep 24, 2026</t>
        </is>
      </c>
      <c r="B104" s="12" t="n">
        <v>46268</v>
      </c>
      <c r="C104" s="12" t="n">
        <v>46271</v>
      </c>
      <c r="D104" s="2" t="inlineStr">
        <is>
          <t>SHOPEE PH MANDALUYONG PHL</t>
        </is>
      </c>
      <c r="E104" s="2" t="inlineStr">
        <is>
          <t>Shopee</t>
        </is>
      </c>
      <c r="F104" s="13" t="inlineStr"/>
      <c r="G104" s="14" t="n">
        <v>6268</v>
      </c>
    </row>
    <row r="105">
      <c r="A105" s="2" t="inlineStr">
        <is>
          <t>Sep 24, 2026</t>
        </is>
      </c>
      <c r="B105" s="12" t="n">
        <v>46268</v>
      </c>
      <c r="C105" s="12" t="n">
        <v>46271</v>
      </c>
      <c r="D105" s="2" t="inlineStr">
        <is>
          <t>SHOPEE PH MANDALUYONG PHL</t>
        </is>
      </c>
      <c r="E105" s="2" t="inlineStr">
        <is>
          <t>Refund/Credit</t>
        </is>
      </c>
      <c r="F105" s="13" t="inlineStr"/>
      <c r="G105" s="14" t="n">
        <v>-158</v>
      </c>
    </row>
    <row r="106">
      <c r="A106" s="2" t="inlineStr">
        <is>
          <t>Sep 24, 2026</t>
        </is>
      </c>
      <c r="B106" s="12" t="n">
        <v>46268</v>
      </c>
      <c r="C106" s="12" t="n">
        <v>46271</v>
      </c>
      <c r="D106" s="2" t="inlineStr">
        <is>
          <t>SHOPEE PH MANDALUYONG PHL</t>
        </is>
      </c>
      <c r="E106" s="2" t="inlineStr">
        <is>
          <t>Refund/Credit</t>
        </is>
      </c>
      <c r="F106" s="13" t="inlineStr"/>
      <c r="G106" s="14" t="n">
        <v>-331</v>
      </c>
    </row>
    <row r="107">
      <c r="A107" s="2" t="inlineStr">
        <is>
          <t>Sep 24, 2026</t>
        </is>
      </c>
      <c r="B107" s="12" t="n">
        <v>46269</v>
      </c>
      <c r="C107" s="12" t="n">
        <v>46271</v>
      </c>
      <c r="D107" s="2" t="inlineStr">
        <is>
          <t>SHOPEE PH MANDALUYONG PHL</t>
        </is>
      </c>
      <c r="E107" s="2" t="inlineStr">
        <is>
          <t>Shopee</t>
        </is>
      </c>
      <c r="F107" s="13" t="inlineStr"/>
      <c r="G107" s="14" t="n">
        <v>281</v>
      </c>
    </row>
    <row r="108">
      <c r="A108" s="2" t="inlineStr">
        <is>
          <t>Sep 24, 2026</t>
        </is>
      </c>
      <c r="B108" s="12" t="n">
        <v>46270</v>
      </c>
      <c r="C108" s="12" t="n">
        <v>46272</v>
      </c>
      <c r="D108" s="2" t="inlineStr">
        <is>
          <t>SHOPEE PH MANDALUYONG PHL</t>
        </is>
      </c>
      <c r="E108" s="2" t="inlineStr">
        <is>
          <t>Shopee</t>
        </is>
      </c>
      <c r="F108" s="13" t="inlineStr"/>
      <c r="G108" s="14" t="n">
        <v>6028</v>
      </c>
    </row>
    <row r="109">
      <c r="A109" s="2" t="inlineStr">
        <is>
          <t>Sep 24, 2026</t>
        </is>
      </c>
      <c r="B109" s="12" t="n">
        <v>46270</v>
      </c>
      <c r="C109" s="12" t="n">
        <v>46271</v>
      </c>
      <c r="D109" s="2" t="inlineStr">
        <is>
          <t>SHOPEE PH MANDALUYONG PHL</t>
        </is>
      </c>
      <c r="E109" s="2" t="inlineStr">
        <is>
          <t>Refund/Credit</t>
        </is>
      </c>
      <c r="F109" s="13" t="inlineStr"/>
      <c r="G109" s="14" t="n">
        <v>-1879</v>
      </c>
    </row>
    <row r="110">
      <c r="A110" s="2" t="inlineStr">
        <is>
          <t>Sep 24, 2026</t>
        </is>
      </c>
      <c r="B110" s="12" t="n">
        <v>46271</v>
      </c>
      <c r="C110" s="12" t="n">
        <v>46271</v>
      </c>
      <c r="D110" s="2" t="inlineStr">
        <is>
          <t>H&amp;M MUNTINLUPA PH</t>
        </is>
      </c>
      <c r="E110" s="2" t="inlineStr">
        <is>
          <t>Shopping (retail)</t>
        </is>
      </c>
      <c r="F110" s="13" t="inlineStr"/>
      <c r="G110" s="14" t="n">
        <v>1277.3</v>
      </c>
    </row>
    <row r="111">
      <c r="A111" s="2" t="inlineStr">
        <is>
          <t>Sep 24, 2026</t>
        </is>
      </c>
      <c r="B111" s="12" t="n">
        <v>46271</v>
      </c>
      <c r="C111" s="12" t="n">
        <v>46273</v>
      </c>
      <c r="D111" s="2" t="inlineStr">
        <is>
          <t>SHOPEE PH MANDALUYONG PHL</t>
        </is>
      </c>
      <c r="E111" s="2" t="inlineStr">
        <is>
          <t>Shopee</t>
        </is>
      </c>
      <c r="F111" s="13" t="inlineStr"/>
      <c r="G111" s="14" t="n">
        <v>296</v>
      </c>
    </row>
    <row r="112">
      <c r="A112" s="2" t="inlineStr">
        <is>
          <t>Sep 24, 2026</t>
        </is>
      </c>
      <c r="B112" s="12" t="n">
        <v>46271</v>
      </c>
      <c r="C112" s="12" t="n">
        <v>46272</v>
      </c>
      <c r="D112" s="2" t="inlineStr">
        <is>
          <t>SHOPEE PH MANDALUYONG PHL</t>
        </is>
      </c>
      <c r="E112" s="2" t="inlineStr">
        <is>
          <t>Refund/Credit</t>
        </is>
      </c>
      <c r="F112" s="13" t="inlineStr"/>
      <c r="G112" s="14" t="n">
        <v>-6268</v>
      </c>
    </row>
    <row r="113">
      <c r="A113" s="2" t="inlineStr">
        <is>
          <t>Sep 24, 2026</t>
        </is>
      </c>
      <c r="B113" s="12" t="n">
        <v>46272</v>
      </c>
      <c r="C113" s="12" t="n">
        <v>46272</v>
      </c>
      <c r="D113" s="2" t="inlineStr">
        <is>
          <t>LAZADA PH TAGUIG PH</t>
        </is>
      </c>
      <c r="E113" s="2" t="inlineStr">
        <is>
          <t>Lazada</t>
        </is>
      </c>
      <c r="F113" s="13" t="inlineStr">
        <is>
          <t>2026090790840002143711</t>
        </is>
      </c>
      <c r="G113" s="14" t="n">
        <v>1431.55</v>
      </c>
    </row>
    <row r="114">
      <c r="A114" s="2" t="inlineStr">
        <is>
          <t>Sep 24, 2026</t>
        </is>
      </c>
      <c r="B114" s="12" t="n">
        <v>46272</v>
      </c>
      <c r="C114" s="12" t="n">
        <v>46274</v>
      </c>
      <c r="D114" s="2" t="inlineStr">
        <is>
          <t>SHOPEE PH MANDALUYONG PHL</t>
        </is>
      </c>
      <c r="E114" s="2" t="inlineStr">
        <is>
          <t>Shopee</t>
        </is>
      </c>
      <c r="F114" s="13" t="inlineStr"/>
      <c r="G114" s="14" t="n">
        <v>136</v>
      </c>
    </row>
    <row r="115">
      <c r="A115" s="2" t="inlineStr">
        <is>
          <t>Sep 24, 2026</t>
        </is>
      </c>
      <c r="B115" s="12" t="n">
        <v>46272</v>
      </c>
      <c r="C115" s="12" t="n">
        <v>46274</v>
      </c>
      <c r="D115" s="2" t="inlineStr">
        <is>
          <t>SHOPEE PH MANDALUYONG PHL</t>
        </is>
      </c>
      <c r="E115" s="2" t="inlineStr">
        <is>
          <t>Shopee</t>
        </is>
      </c>
      <c r="F115" s="13" t="inlineStr"/>
      <c r="G115" s="14" t="n">
        <v>384</v>
      </c>
    </row>
    <row r="116">
      <c r="A116" s="2" t="inlineStr">
        <is>
          <t>Sep 24, 2026</t>
        </is>
      </c>
      <c r="B116" s="12" t="n">
        <v>46272</v>
      </c>
      <c r="C116" s="12" t="n">
        <v>46274</v>
      </c>
      <c r="D116" s="2" t="inlineStr">
        <is>
          <t>SHOPEE PH MANDALUYONG PHL</t>
        </is>
      </c>
      <c r="E116" s="2" t="inlineStr">
        <is>
          <t>Shopee</t>
        </is>
      </c>
      <c r="F116" s="13" t="inlineStr"/>
      <c r="G116" s="14" t="n">
        <v>128</v>
      </c>
    </row>
    <row r="117">
      <c r="A117" s="2" t="inlineStr">
        <is>
          <t>Sep 24, 2026</t>
        </is>
      </c>
      <c r="B117" s="12" t="n">
        <v>46272</v>
      </c>
      <c r="C117" s="12" t="n">
        <v>46274</v>
      </c>
      <c r="D117" s="2" t="inlineStr">
        <is>
          <t>SHOPEE PH MANDALUYONG PHL</t>
        </is>
      </c>
      <c r="E117" s="2" t="inlineStr">
        <is>
          <t>Shopee</t>
        </is>
      </c>
      <c r="F117" s="13" t="inlineStr"/>
      <c r="G117" s="14" t="n">
        <v>319</v>
      </c>
    </row>
    <row r="118">
      <c r="A118" s="2" t="inlineStr">
        <is>
          <t>Sep 24, 2026</t>
        </is>
      </c>
      <c r="B118" s="12" t="n">
        <v>46272</v>
      </c>
      <c r="C118" s="12" t="n">
        <v>46274</v>
      </c>
      <c r="D118" s="2" t="inlineStr">
        <is>
          <t>SHOPEE PH MANDALUYONG PHL</t>
        </is>
      </c>
      <c r="E118" s="2" t="inlineStr">
        <is>
          <t>Shopee</t>
        </is>
      </c>
      <c r="F118" s="13" t="inlineStr"/>
      <c r="G118" s="14" t="n">
        <v>3283</v>
      </c>
    </row>
    <row r="119">
      <c r="A119" s="2" t="inlineStr">
        <is>
          <t>Sep 24, 2026</t>
        </is>
      </c>
      <c r="B119" s="12" t="n">
        <v>46273</v>
      </c>
      <c r="C119" s="12" t="n">
        <v>46275</v>
      </c>
      <c r="D119" s="2" t="inlineStr">
        <is>
          <t>SHOPEE PH MANDALUYONG PHL</t>
        </is>
      </c>
      <c r="E119" s="2" t="inlineStr">
        <is>
          <t>Shopee</t>
        </is>
      </c>
      <c r="F119" s="13" t="inlineStr"/>
      <c r="G119" s="14" t="n">
        <v>144</v>
      </c>
    </row>
    <row r="120">
      <c r="A120" s="2" t="inlineStr">
        <is>
          <t>Sep 24, 2026</t>
        </is>
      </c>
      <c r="B120" s="12" t="n">
        <v>46273</v>
      </c>
      <c r="C120" s="12" t="n">
        <v>46275</v>
      </c>
      <c r="D120" s="2" t="inlineStr">
        <is>
          <t>SHOPEE PH MANDALUYONG PHL</t>
        </is>
      </c>
      <c r="E120" s="2" t="inlineStr">
        <is>
          <t>Shopee</t>
        </is>
      </c>
      <c r="F120" s="13" t="inlineStr"/>
      <c r="G120" s="14" t="n">
        <v>125</v>
      </c>
    </row>
    <row r="121">
      <c r="A121" s="2" t="inlineStr">
        <is>
          <t>Sep 24, 2026</t>
        </is>
      </c>
      <c r="B121" s="12" t="n">
        <v>46273</v>
      </c>
      <c r="C121" s="12" t="n">
        <v>46275</v>
      </c>
      <c r="D121" s="2" t="inlineStr">
        <is>
          <t>SHOPEE PH MANDALUYONG PHL</t>
        </is>
      </c>
      <c r="E121" s="2" t="inlineStr">
        <is>
          <t>Shopee</t>
        </is>
      </c>
      <c r="F121" s="13" t="inlineStr"/>
      <c r="G121" s="14" t="n">
        <v>85</v>
      </c>
    </row>
    <row r="122">
      <c r="A122" s="2" t="inlineStr">
        <is>
          <t>Sep 24, 2026</t>
        </is>
      </c>
      <c r="B122" s="12" t="n">
        <v>46273</v>
      </c>
      <c r="C122" s="12" t="n">
        <v>46275</v>
      </c>
      <c r="D122" s="2" t="inlineStr">
        <is>
          <t>SHOPEE PH MANDALUYONG PHL</t>
        </is>
      </c>
      <c r="E122" s="2" t="inlineStr">
        <is>
          <t>Shopee</t>
        </is>
      </c>
      <c r="F122" s="13" t="inlineStr"/>
      <c r="G122" s="14" t="n">
        <v>68</v>
      </c>
    </row>
    <row r="123">
      <c r="A123" s="2" t="inlineStr">
        <is>
          <t>Sep 24, 2026</t>
        </is>
      </c>
      <c r="B123" s="12" t="n">
        <v>46273</v>
      </c>
      <c r="C123" s="12" t="n">
        <v>46274</v>
      </c>
      <c r="D123" s="2" t="inlineStr">
        <is>
          <t>SHOPEE PH MANDALUYONG PHL</t>
        </is>
      </c>
      <c r="E123" s="2" t="inlineStr">
        <is>
          <t>Refund/Credit</t>
        </is>
      </c>
      <c r="F123" s="13" t="inlineStr"/>
      <c r="G123" s="14" t="n">
        <v>-16</v>
      </c>
    </row>
    <row r="124">
      <c r="A124" s="2" t="inlineStr">
        <is>
          <t>Sep 24, 2026</t>
        </is>
      </c>
      <c r="B124" s="12" t="n">
        <v>46273</v>
      </c>
      <c r="C124" s="12" t="n">
        <v>46274</v>
      </c>
      <c r="D124" s="2" t="inlineStr">
        <is>
          <t>SHOPEE PH MANDALUYONG PHL</t>
        </is>
      </c>
      <c r="E124" s="2" t="inlineStr">
        <is>
          <t>Refund/Credit</t>
        </is>
      </c>
      <c r="F124" s="13" t="inlineStr"/>
      <c r="G124" s="14" t="n">
        <v>-19</v>
      </c>
    </row>
    <row r="125">
      <c r="A125" s="2" t="inlineStr">
        <is>
          <t>Sep 24, 2026</t>
        </is>
      </c>
      <c r="B125" s="12" t="n">
        <v>46274</v>
      </c>
      <c r="C125" s="12" t="n">
        <v>46278</v>
      </c>
      <c r="D125" s="2" t="inlineStr">
        <is>
          <t>SHOPEE PH MANDALUYONG PHL</t>
        </is>
      </c>
      <c r="E125" s="2" t="inlineStr">
        <is>
          <t>Shopee</t>
        </is>
      </c>
      <c r="F125" s="13" t="inlineStr"/>
      <c r="G125" s="14" t="n">
        <v>500</v>
      </c>
    </row>
    <row r="126">
      <c r="A126" s="2" t="inlineStr">
        <is>
          <t>Sep 24, 2026</t>
        </is>
      </c>
      <c r="B126" s="12" t="n">
        <v>46274</v>
      </c>
      <c r="C126" s="12" t="n">
        <v>46278</v>
      </c>
      <c r="D126" s="2" t="inlineStr">
        <is>
          <t>SHOPEE PH MANDALUYONG PHL</t>
        </is>
      </c>
      <c r="E126" s="2" t="inlineStr">
        <is>
          <t>Shopee</t>
        </is>
      </c>
      <c r="F126" s="13" t="inlineStr"/>
      <c r="G126" s="14" t="n">
        <v>240</v>
      </c>
    </row>
    <row r="127">
      <c r="A127" s="2" t="inlineStr">
        <is>
          <t>Sep 24, 2026</t>
        </is>
      </c>
      <c r="B127" s="12" t="n">
        <v>46275</v>
      </c>
      <c r="C127" s="12" t="n">
        <v>46278</v>
      </c>
      <c r="D127" s="2" t="inlineStr">
        <is>
          <t>SHOPEE PH MANDALUYONG PHL</t>
        </is>
      </c>
      <c r="E127" s="2" t="inlineStr">
        <is>
          <t>Shopee</t>
        </is>
      </c>
      <c r="F127" s="13" t="inlineStr"/>
      <c r="G127" s="14" t="n">
        <v>5246</v>
      </c>
    </row>
    <row r="128">
      <c r="A128" s="2" t="inlineStr">
        <is>
          <t>Sep 24, 2026</t>
        </is>
      </c>
      <c r="B128" s="12" t="n">
        <v>46275</v>
      </c>
      <c r="C128" s="12" t="n">
        <v>46278</v>
      </c>
      <c r="D128" s="2" t="inlineStr">
        <is>
          <t>SHOPEE PH MANDALUYONG PHL</t>
        </is>
      </c>
      <c r="E128" s="2" t="inlineStr">
        <is>
          <t>Refund/Credit</t>
        </is>
      </c>
      <c r="F128" s="13" t="inlineStr"/>
      <c r="G128" s="14" t="n">
        <v>-5975</v>
      </c>
    </row>
    <row r="129">
      <c r="A129" s="2" t="inlineStr">
        <is>
          <t>Sep 24, 2026</t>
        </is>
      </c>
      <c r="B129" s="12" t="n">
        <v>46276</v>
      </c>
      <c r="C129" s="12" t="n">
        <v>46278</v>
      </c>
      <c r="D129" s="2" t="inlineStr">
        <is>
          <t>SUPER 8 SAN PEDRO LAGUNA SAN PE PHL</t>
        </is>
      </c>
      <c r="E129" s="2" t="inlineStr">
        <is>
          <t>Food/Grocery</t>
        </is>
      </c>
      <c r="F129" s="13" t="inlineStr"/>
      <c r="G129" s="14" t="n">
        <v>283.25</v>
      </c>
    </row>
    <row r="130">
      <c r="A130" s="2" t="inlineStr">
        <is>
          <t>Sep 24, 2026</t>
        </is>
      </c>
      <c r="B130" s="12" t="n">
        <v>46277</v>
      </c>
      <c r="C130" s="12" t="n">
        <v>46278</v>
      </c>
      <c r="D130" s="2" t="inlineStr">
        <is>
          <t>LAZADA PH TAGUIG PH</t>
        </is>
      </c>
      <c r="E130" s="2" t="inlineStr">
        <is>
          <t>Refund/Credit</t>
        </is>
      </c>
      <c r="F130" s="13" t="inlineStr">
        <is>
          <t>20260825902700021629931</t>
        </is>
      </c>
      <c r="G130" s="14" t="n">
        <v>-1283.02</v>
      </c>
    </row>
    <row r="131">
      <c r="A131" s="2" t="inlineStr">
        <is>
          <t>Sep 24, 2026</t>
        </is>
      </c>
      <c r="B131" s="12" t="n">
        <v>46279</v>
      </c>
      <c r="C131" s="12" t="n">
        <v>46281</v>
      </c>
      <c r="D131" s="2" t="inlineStr">
        <is>
          <t>SHOPEE PH MANDALUYONG PHL</t>
        </is>
      </c>
      <c r="E131" s="2" t="inlineStr">
        <is>
          <t>Shopee</t>
        </is>
      </c>
      <c r="F131" s="13" t="inlineStr"/>
      <c r="G131" s="14" t="n">
        <v>208</v>
      </c>
    </row>
    <row r="132">
      <c r="A132" s="2" t="inlineStr">
        <is>
          <t>Sep 24, 2026</t>
        </is>
      </c>
      <c r="B132" s="12" t="n">
        <v>46282</v>
      </c>
      <c r="C132" s="12" t="n">
        <v>46285</v>
      </c>
      <c r="D132" s="2" t="inlineStr">
        <is>
          <t>SHOPEE PH MANDALUYONG PHL</t>
        </is>
      </c>
      <c r="E132" s="2" t="inlineStr">
        <is>
          <t>Shopee</t>
        </is>
      </c>
      <c r="F132" s="13" t="inlineStr"/>
      <c r="G132" s="14" t="n">
        <v>333</v>
      </c>
    </row>
    <row r="133">
      <c r="A133" s="2" t="inlineStr">
        <is>
          <t>Sep 24, 2026</t>
        </is>
      </c>
      <c r="B133" s="12" t="n">
        <v>46282</v>
      </c>
      <c r="C133" s="12" t="n">
        <v>46285</v>
      </c>
      <c r="D133" s="2" t="inlineStr">
        <is>
          <t>MERALCO AUTOCHARGE PASIG CITY PH</t>
        </is>
      </c>
      <c r="E133" s="2" t="inlineStr">
        <is>
          <t>Utilities/Bills</t>
        </is>
      </c>
      <c r="F133" s="13" t="inlineStr">
        <is>
          <t>1248117325</t>
        </is>
      </c>
      <c r="G133" s="14" t="n">
        <v>1284.42</v>
      </c>
    </row>
    <row r="134">
      <c r="A134" s="2" t="inlineStr">
        <is>
          <t>Sep 24, 2026</t>
        </is>
      </c>
      <c r="B134" s="12" t="n">
        <v>46285</v>
      </c>
      <c r="C134" s="12" t="n">
        <v>46285</v>
      </c>
      <c r="D134" s="2" t="inlineStr">
        <is>
          <t>PAYMENT RECEIVED - THANK YOU</t>
        </is>
      </c>
      <c r="E134" s="2" t="inlineStr">
        <is>
          <t>Payment</t>
        </is>
      </c>
      <c r="F134" s="13" t="inlineStr"/>
      <c r="G134" s="14" t="n">
        <v>-27977.46</v>
      </c>
    </row>
    <row r="135">
      <c r="A135" s="2" t="inlineStr">
        <is>
          <t>Sep 24, 2026</t>
        </is>
      </c>
      <c r="B135" s="12" t="n">
        <v>46285</v>
      </c>
      <c r="C135" s="12" t="n">
        <v>46286</v>
      </c>
      <c r="D135" s="2" t="inlineStr">
        <is>
          <t>BAYAD CENTER MERALCO PASIG PHL</t>
        </is>
      </c>
      <c r="E135" s="2" t="inlineStr">
        <is>
          <t>Utilities/Bills</t>
        </is>
      </c>
      <c r="F135" s="13" t="inlineStr"/>
      <c r="G135" s="14" t="n">
        <v>5973.08</v>
      </c>
    </row>
    <row r="136">
      <c r="A136" s="2" t="inlineStr">
        <is>
          <t>Sep 24, 2026</t>
        </is>
      </c>
      <c r="B136" s="12" t="n">
        <v>46287</v>
      </c>
      <c r="C136" s="12" t="n">
        <v>46289</v>
      </c>
      <c r="D136" s="2" t="inlineStr">
        <is>
          <t>SHOPEE PH MANDALUYONG PHL</t>
        </is>
      </c>
      <c r="E136" s="2" t="inlineStr">
        <is>
          <t>Shopee</t>
        </is>
      </c>
      <c r="F136" s="13" t="inlineStr"/>
      <c r="G136" s="14" t="n">
        <v>205</v>
      </c>
    </row>
  </sheetData>
  <autoFilter ref="A1:G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9" customWidth="1" min="5" max="5"/>
  </cols>
  <sheetData>
    <row r="1">
      <c r="A1" s="4" t="inlineStr">
        <is>
          <t>Category</t>
        </is>
      </c>
      <c r="B1" s="4" t="inlineStr">
        <is>
          <t>Aug 25, 2026</t>
        </is>
      </c>
      <c r="C1" s="4" t="inlineStr">
        <is>
          <t>Sep 24, 2026</t>
        </is>
      </c>
      <c r="D1" s="4" t="inlineStr">
        <is>
          <t>Total</t>
        </is>
      </c>
      <c r="E1" s="4" t="inlineStr">
        <is>
          <t># Txns</t>
        </is>
      </c>
    </row>
    <row r="2">
      <c r="A2" s="2" t="inlineStr">
        <is>
          <t>Fees</t>
        </is>
      </c>
      <c r="B2" s="14">
        <f>SUMIFS(Transactions!$G$2:$G$136,Transactions!$A$2:$A$136,"Aug 25, 2026",Transactions!$E$2:$E$136,$A2)</f>
        <v/>
      </c>
      <c r="C2" s="14">
        <f>SUMIFS(Transactions!$G$2:$G$136,Transactions!$A$2:$A$136,"Sep 24, 2026",Transactions!$E$2:$E$136,$A2)</f>
        <v/>
      </c>
      <c r="D2" s="14">
        <f>B2+C2</f>
        <v/>
      </c>
      <c r="E2" s="2">
        <f>COUNTIFS(Transactions!$E$2:$E$136,$A2)</f>
        <v/>
      </c>
    </row>
    <row r="3">
      <c r="A3" s="2" t="inlineStr">
        <is>
          <t>Food/Grocery</t>
        </is>
      </c>
      <c r="B3" s="14">
        <f>SUMIFS(Transactions!$G$2:$G$136,Transactions!$A$2:$A$136,"Aug 25, 2026",Transactions!$E$2:$E$136,$A3)</f>
        <v/>
      </c>
      <c r="C3" s="14">
        <f>SUMIFS(Transactions!$G$2:$G$136,Transactions!$A$2:$A$136,"Sep 24, 2026",Transactions!$E$2:$E$136,$A3)</f>
        <v/>
      </c>
      <c r="D3" s="14">
        <f>B3+C3</f>
        <v/>
      </c>
      <c r="E3" s="2">
        <f>COUNTIFS(Transactions!$E$2:$E$136,$A3)</f>
        <v/>
      </c>
    </row>
    <row r="4">
      <c r="A4" s="2" t="inlineStr">
        <is>
          <t>Gym</t>
        </is>
      </c>
      <c r="B4" s="14">
        <f>SUMIFS(Transactions!$G$2:$G$136,Transactions!$A$2:$A$136,"Aug 25, 2026",Transactions!$E$2:$E$136,$A4)</f>
        <v/>
      </c>
      <c r="C4" s="14">
        <f>SUMIFS(Transactions!$G$2:$G$136,Transactions!$A$2:$A$136,"Sep 24, 2026",Transactions!$E$2:$E$136,$A4)</f>
        <v/>
      </c>
      <c r="D4" s="14">
        <f>B4+C4</f>
        <v/>
      </c>
      <c r="E4" s="2">
        <f>COUNTIFS(Transactions!$E$2:$E$136,$A4)</f>
        <v/>
      </c>
    </row>
    <row r="5">
      <c r="A5" s="2" t="inlineStr">
        <is>
          <t>Lazada</t>
        </is>
      </c>
      <c r="B5" s="14">
        <f>SUMIFS(Transactions!$G$2:$G$136,Transactions!$A$2:$A$136,"Aug 25, 2026",Transactions!$E$2:$E$136,$A5)</f>
        <v/>
      </c>
      <c r="C5" s="14">
        <f>SUMIFS(Transactions!$G$2:$G$136,Transactions!$A$2:$A$136,"Sep 24, 2026",Transactions!$E$2:$E$136,$A5)</f>
        <v/>
      </c>
      <c r="D5" s="14">
        <f>B5+C5</f>
        <v/>
      </c>
      <c r="E5" s="2">
        <f>COUNTIFS(Transactions!$E$2:$E$136,$A5)</f>
        <v/>
      </c>
    </row>
    <row r="6">
      <c r="A6" s="2" t="inlineStr">
        <is>
          <t>Shopee</t>
        </is>
      </c>
      <c r="B6" s="14">
        <f>SUMIFS(Transactions!$G$2:$G$136,Transactions!$A$2:$A$136,"Aug 25, 2026",Transactions!$E$2:$E$136,$A6)</f>
        <v/>
      </c>
      <c r="C6" s="14">
        <f>SUMIFS(Transactions!$G$2:$G$136,Transactions!$A$2:$A$136,"Sep 24, 2026",Transactions!$E$2:$E$136,$A6)</f>
        <v/>
      </c>
      <c r="D6" s="14">
        <f>B6+C6</f>
        <v/>
      </c>
      <c r="E6" s="2">
        <f>COUNTIFS(Transactions!$E$2:$E$136,$A6)</f>
        <v/>
      </c>
    </row>
    <row r="7">
      <c r="A7" s="2" t="inlineStr">
        <is>
          <t>Shopping (retail)</t>
        </is>
      </c>
      <c r="B7" s="14">
        <f>SUMIFS(Transactions!$G$2:$G$136,Transactions!$A$2:$A$136,"Aug 25, 2026",Transactions!$E$2:$E$136,$A7)</f>
        <v/>
      </c>
      <c r="C7" s="14">
        <f>SUMIFS(Transactions!$G$2:$G$136,Transactions!$A$2:$A$136,"Sep 24, 2026",Transactions!$E$2:$E$136,$A7)</f>
        <v/>
      </c>
      <c r="D7" s="14">
        <f>B7+C7</f>
        <v/>
      </c>
      <c r="E7" s="2">
        <f>COUNTIFS(Transactions!$E$2:$E$136,$A7)</f>
        <v/>
      </c>
    </row>
    <row r="8">
      <c r="A8" s="2" t="inlineStr">
        <is>
          <t>TikTok Shop</t>
        </is>
      </c>
      <c r="B8" s="14">
        <f>SUMIFS(Transactions!$G$2:$G$136,Transactions!$A$2:$A$136,"Aug 25, 2026",Transactions!$E$2:$E$136,$A8)</f>
        <v/>
      </c>
      <c r="C8" s="14">
        <f>SUMIFS(Transactions!$G$2:$G$136,Transactions!$A$2:$A$136,"Sep 24, 2026",Transactions!$E$2:$E$136,$A8)</f>
        <v/>
      </c>
      <c r="D8" s="14">
        <f>B8+C8</f>
        <v/>
      </c>
      <c r="E8" s="2">
        <f>COUNTIFS(Transactions!$E$2:$E$136,$A8)</f>
        <v/>
      </c>
    </row>
    <row r="9">
      <c r="A9" s="2" t="inlineStr">
        <is>
          <t>Transport</t>
        </is>
      </c>
      <c r="B9" s="14">
        <f>SUMIFS(Transactions!$G$2:$G$136,Transactions!$A$2:$A$136,"Aug 25, 2026",Transactions!$E$2:$E$136,$A9)</f>
        <v/>
      </c>
      <c r="C9" s="14">
        <f>SUMIFS(Transactions!$G$2:$G$136,Transactions!$A$2:$A$136,"Sep 24, 2026",Transactions!$E$2:$E$136,$A9)</f>
        <v/>
      </c>
      <c r="D9" s="14">
        <f>B9+C9</f>
        <v/>
      </c>
      <c r="E9" s="2">
        <f>COUNTIFS(Transactions!$E$2:$E$136,$A9)</f>
        <v/>
      </c>
    </row>
    <row r="10">
      <c r="A10" s="2" t="inlineStr">
        <is>
          <t>Utilities/Bills</t>
        </is>
      </c>
      <c r="B10" s="14">
        <f>SUMIFS(Transactions!$G$2:$G$136,Transactions!$A$2:$A$136,"Aug 25, 2026",Transactions!$E$2:$E$136,$A10)</f>
        <v/>
      </c>
      <c r="C10" s="14">
        <f>SUMIFS(Transactions!$G$2:$G$136,Transactions!$A$2:$A$136,"Sep 24, 2026",Transactions!$E$2:$E$136,$A10)</f>
        <v/>
      </c>
      <c r="D10" s="14">
        <f>B10+C10</f>
        <v/>
      </c>
      <c r="E10" s="2">
        <f>COUNTIFS(Transactions!$E$2:$E$136,$A10)</f>
        <v/>
      </c>
    </row>
    <row r="11">
      <c r="A11" s="2" t="inlineStr">
        <is>
          <t>Refund/Credit</t>
        </is>
      </c>
      <c r="B11" s="14">
        <f>SUMIFS(Transactions!$G$2:$G$136,Transactions!$A$2:$A$136,"Aug 25, 2026",Transactions!$E$2:$E$136,$A11)</f>
        <v/>
      </c>
      <c r="C11" s="14">
        <f>SUMIFS(Transactions!$G$2:$G$136,Transactions!$A$2:$A$136,"Sep 24, 2026",Transactions!$E$2:$E$136,$A11)</f>
        <v/>
      </c>
      <c r="D11" s="14">
        <f>B11+C11</f>
        <v/>
      </c>
      <c r="E11" s="2">
        <f>COUNTIFS(Transactions!$E$2:$E$136,$A11)</f>
        <v/>
      </c>
    </row>
    <row r="12">
      <c r="A12" s="9" t="inlineStr">
        <is>
          <t>Net (excl. payments)</t>
        </is>
      </c>
      <c r="B12" s="15">
        <f>SUM(B2:B11)</f>
        <v/>
      </c>
      <c r="C12" s="15">
        <f>SUM(C2:C11)</f>
        <v/>
      </c>
      <c r="D12" s="15">
        <f>SUM(D2:D11)</f>
        <v/>
      </c>
      <c r="E12" s="9">
        <f>SUM(E2:E11)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Merchant</t>
        </is>
      </c>
      <c r="B1" s="4" t="inlineStr">
        <is>
          <t>Aug 25, 2026</t>
        </is>
      </c>
      <c r="C1" s="4" t="inlineStr">
        <is>
          <t>Sep 24, 2026</t>
        </is>
      </c>
      <c r="D1" s="4" t="inlineStr">
        <is>
          <t>Total</t>
        </is>
      </c>
    </row>
    <row r="2">
      <c r="A2" s="2" t="inlineStr">
        <is>
          <t>484 SM AURA TAGUIG PHL</t>
        </is>
      </c>
      <c r="B2" s="14">
        <f>SUMIFS(Transactions!$G$2:$G$136,Transactions!$A$2:$A$136,"Aug 25, 2026",Transactions!$D$2:$D$136,$A2)</f>
        <v/>
      </c>
      <c r="C2" s="14">
        <f>SUMIFS(Transactions!$G$2:$G$136,Transactions!$A$2:$A$136,"Sep 24, 2026",Transactions!$D$2:$D$136,$A2)</f>
        <v/>
      </c>
      <c r="D2" s="14">
        <f>B2+C2</f>
        <v/>
      </c>
    </row>
    <row r="3">
      <c r="A3" s="2" t="inlineStr">
        <is>
          <t>ANNUAL MEMBERSHIP FEE</t>
        </is>
      </c>
      <c r="B3" s="14">
        <f>SUMIFS(Transactions!$G$2:$G$136,Transactions!$A$2:$A$136,"Aug 25, 2026",Transactions!$D$2:$D$136,$A3)</f>
        <v/>
      </c>
      <c r="C3" s="14">
        <f>SUMIFS(Transactions!$G$2:$G$136,Transactions!$A$2:$A$136,"Sep 24, 2026",Transactions!$D$2:$D$136,$A3)</f>
        <v/>
      </c>
      <c r="D3" s="14">
        <f>B3+C3</f>
        <v/>
      </c>
    </row>
    <row r="4">
      <c r="A4" s="2" t="inlineStr">
        <is>
          <t>BAYAD CENTER MERALCO PASIG PHL</t>
        </is>
      </c>
      <c r="B4" s="14">
        <f>SUMIFS(Transactions!$G$2:$G$136,Transactions!$A$2:$A$136,"Aug 25, 2026",Transactions!$D$2:$D$136,$A4)</f>
        <v/>
      </c>
      <c r="C4" s="14">
        <f>SUMIFS(Transactions!$G$2:$G$136,Transactions!$A$2:$A$136,"Sep 24, 2026",Transactions!$D$2:$D$136,$A4)</f>
        <v/>
      </c>
      <c r="D4" s="14">
        <f>B4+C4</f>
        <v/>
      </c>
    </row>
    <row r="5">
      <c r="A5" s="2" t="inlineStr">
        <is>
          <t>GRAB MAKATI PHL</t>
        </is>
      </c>
      <c r="B5" s="14">
        <f>SUMIFS(Transactions!$G$2:$G$136,Transactions!$A$2:$A$136,"Aug 25, 2026",Transactions!$D$2:$D$136,$A5)</f>
        <v/>
      </c>
      <c r="C5" s="14">
        <f>SUMIFS(Transactions!$G$2:$G$136,Transactions!$A$2:$A$136,"Sep 24, 2026",Transactions!$D$2:$D$136,$A5)</f>
        <v/>
      </c>
      <c r="D5" s="14">
        <f>B5+C5</f>
        <v/>
      </c>
    </row>
    <row r="6">
      <c r="A6" s="2" t="inlineStr">
        <is>
          <t>GRAB PASIG CITY PHL</t>
        </is>
      </c>
      <c r="B6" s="14">
        <f>SUMIFS(Transactions!$G$2:$G$136,Transactions!$A$2:$A$136,"Aug 25, 2026",Transactions!$D$2:$D$136,$A6)</f>
        <v/>
      </c>
      <c r="C6" s="14">
        <f>SUMIFS(Transactions!$G$2:$G$136,Transactions!$A$2:$A$136,"Sep 24, 2026",Transactions!$D$2:$D$136,$A6)</f>
        <v/>
      </c>
      <c r="D6" s="14">
        <f>B6+C6</f>
        <v/>
      </c>
    </row>
    <row r="7">
      <c r="A7" s="2" t="inlineStr">
        <is>
          <t>H&amp;M MUNTINLUPA PH</t>
        </is>
      </c>
      <c r="B7" s="14">
        <f>SUMIFS(Transactions!$G$2:$G$136,Transactions!$A$2:$A$136,"Aug 25, 2026",Transactions!$D$2:$D$136,$A7)</f>
        <v/>
      </c>
      <c r="C7" s="14">
        <f>SUMIFS(Transactions!$G$2:$G$136,Transactions!$A$2:$A$136,"Sep 24, 2026",Transactions!$D$2:$D$136,$A7)</f>
        <v/>
      </c>
      <c r="D7" s="14">
        <f>B7+C7</f>
        <v/>
      </c>
    </row>
    <row r="8">
      <c r="A8" s="2" t="inlineStr">
        <is>
          <t>H&amp;M TAGUIG PH</t>
        </is>
      </c>
      <c r="B8" s="14">
        <f>SUMIFS(Transactions!$G$2:$G$136,Transactions!$A$2:$A$136,"Aug 25, 2026",Transactions!$D$2:$D$136,$A8)</f>
        <v/>
      </c>
      <c r="C8" s="14">
        <f>SUMIFS(Transactions!$G$2:$G$136,Transactions!$A$2:$A$136,"Sep 24, 2026",Transactions!$D$2:$D$136,$A8)</f>
        <v/>
      </c>
      <c r="D8" s="14">
        <f>B8+C8</f>
        <v/>
      </c>
    </row>
    <row r="9">
      <c r="A9" s="2" t="inlineStr">
        <is>
          <t>LANDMARK ALABANG DEPAR MUNTINLUPA PHL</t>
        </is>
      </c>
      <c r="B9" s="14">
        <f>SUMIFS(Transactions!$G$2:$G$136,Transactions!$A$2:$A$136,"Aug 25, 2026",Transactions!$D$2:$D$136,$A9)</f>
        <v/>
      </c>
      <c r="C9" s="14">
        <f>SUMIFS(Transactions!$G$2:$G$136,Transactions!$A$2:$A$136,"Sep 24, 2026",Transactions!$D$2:$D$136,$A9)</f>
        <v/>
      </c>
      <c r="D9" s="14">
        <f>B9+C9</f>
        <v/>
      </c>
    </row>
    <row r="10">
      <c r="A10" s="2" t="inlineStr">
        <is>
          <t>LANDMARK ALABANG SUPER MUNTINLUPA PHL</t>
        </is>
      </c>
      <c r="B10" s="14">
        <f>SUMIFS(Transactions!$G$2:$G$136,Transactions!$A$2:$A$136,"Aug 25, 2026",Transactions!$D$2:$D$136,$A10)</f>
        <v/>
      </c>
      <c r="C10" s="14">
        <f>SUMIFS(Transactions!$G$2:$G$136,Transactions!$A$2:$A$136,"Sep 24, 2026",Transactions!$D$2:$D$136,$A10)</f>
        <v/>
      </c>
      <c r="D10" s="14">
        <f>B10+C10</f>
        <v/>
      </c>
    </row>
    <row r="11">
      <c r="A11" s="2" t="inlineStr">
        <is>
          <t>LAZADA PH TAGUIG PH</t>
        </is>
      </c>
      <c r="B11" s="14">
        <f>SUMIFS(Transactions!$G$2:$G$136,Transactions!$A$2:$A$136,"Aug 25, 2026",Transactions!$D$2:$D$136,$A11)</f>
        <v/>
      </c>
      <c r="C11" s="14">
        <f>SUMIFS(Transactions!$G$2:$G$136,Transactions!$A$2:$A$136,"Sep 24, 2026",Transactions!$D$2:$D$136,$A11)</f>
        <v/>
      </c>
      <c r="D11" s="14">
        <f>B11+C11</f>
        <v/>
      </c>
    </row>
    <row r="12">
      <c r="A12" s="2" t="inlineStr">
        <is>
          <t>MERALCO AUTOCHARGE PASIG CITY PH</t>
        </is>
      </c>
      <c r="B12" s="14">
        <f>SUMIFS(Transactions!$G$2:$G$136,Transactions!$A$2:$A$136,"Aug 25, 2026",Transactions!$D$2:$D$136,$A12)</f>
        <v/>
      </c>
      <c r="C12" s="14">
        <f>SUMIFS(Transactions!$G$2:$G$136,Transactions!$A$2:$A$136,"Sep 24, 2026",Transactions!$D$2:$D$136,$A12)</f>
        <v/>
      </c>
      <c r="D12" s="14">
        <f>B12+C12</f>
        <v/>
      </c>
    </row>
    <row r="13">
      <c r="A13" s="2" t="inlineStr">
        <is>
          <t>P AND L FITNESS GYM SAN PEDRO PHL</t>
        </is>
      </c>
      <c r="B13" s="14">
        <f>SUMIFS(Transactions!$G$2:$G$136,Transactions!$A$2:$A$136,"Aug 25, 2026",Transactions!$D$2:$D$136,$A13)</f>
        <v/>
      </c>
      <c r="C13" s="14">
        <f>SUMIFS(Transactions!$G$2:$G$136,Transactions!$A$2:$A$136,"Sep 24, 2026",Transactions!$D$2:$D$136,$A13)</f>
        <v/>
      </c>
      <c r="D13" s="14">
        <f>B13+C13</f>
        <v/>
      </c>
    </row>
    <row r="14">
      <c r="A14" s="2" t="inlineStr">
        <is>
          <t>PIZZA HUT CLTX SAN PED SAN PEDRO PHL</t>
        </is>
      </c>
      <c r="B14" s="14">
        <f>SUMIFS(Transactions!$G$2:$G$136,Transactions!$A$2:$A$136,"Aug 25, 2026",Transactions!$D$2:$D$136,$A14)</f>
        <v/>
      </c>
      <c r="C14" s="14">
        <f>SUMIFS(Transactions!$G$2:$G$136,Transactions!$A$2:$A$136,"Sep 24, 2026",Transactions!$D$2:$D$136,$A14)</f>
        <v/>
      </c>
      <c r="D14" s="14">
        <f>B14+C14</f>
        <v/>
      </c>
    </row>
    <row r="15">
      <c r="A15" s="2" t="inlineStr">
        <is>
          <t>PLDT AUTOCHARGE MAKATI CITY PH</t>
        </is>
      </c>
      <c r="B15" s="14">
        <f>SUMIFS(Transactions!$G$2:$G$136,Transactions!$A$2:$A$136,"Aug 25, 2026",Transactions!$D$2:$D$136,$A15)</f>
        <v/>
      </c>
      <c r="C15" s="14">
        <f>SUMIFS(Transactions!$G$2:$G$136,Transactions!$A$2:$A$136,"Sep 24, 2026",Transactions!$D$2:$D$136,$A15)</f>
        <v/>
      </c>
      <c r="D15" s="14">
        <f>B15+C15</f>
        <v/>
      </c>
    </row>
    <row r="16">
      <c r="A16" s="2" t="inlineStr">
        <is>
          <t>SAVEMORE SAN PEDRO LAGUNA PH</t>
        </is>
      </c>
      <c r="B16" s="14">
        <f>SUMIFS(Transactions!$G$2:$G$136,Transactions!$A$2:$A$136,"Aug 25, 2026",Transactions!$D$2:$D$136,$A16)</f>
        <v/>
      </c>
      <c r="C16" s="14">
        <f>SUMIFS(Transactions!$G$2:$G$136,Transactions!$A$2:$A$136,"Sep 24, 2026",Transactions!$D$2:$D$136,$A16)</f>
        <v/>
      </c>
      <c r="D16" s="14">
        <f>B16+C16</f>
        <v/>
      </c>
    </row>
    <row r="17">
      <c r="A17" s="2" t="inlineStr">
        <is>
          <t>SHOPEE PH MANDALUYONG PHL</t>
        </is>
      </c>
      <c r="B17" s="14">
        <f>SUMIFS(Transactions!$G$2:$G$136,Transactions!$A$2:$A$136,"Aug 25, 2026",Transactions!$D$2:$D$136,$A17)</f>
        <v/>
      </c>
      <c r="C17" s="14">
        <f>SUMIFS(Transactions!$G$2:$G$136,Transactions!$A$2:$A$136,"Sep 24, 2026",Transactions!$D$2:$D$136,$A17)</f>
        <v/>
      </c>
      <c r="D17" s="14">
        <f>B17+C17</f>
        <v/>
      </c>
    </row>
    <row r="18">
      <c r="A18" s="2" t="inlineStr">
        <is>
          <t>SUPER 8 SAN PEDRO LAGUNA SAN PE PHL</t>
        </is>
      </c>
      <c r="B18" s="14">
        <f>SUMIFS(Transactions!$G$2:$G$136,Transactions!$A$2:$A$136,"Aug 25, 2026",Transactions!$D$2:$D$136,$A18)</f>
        <v/>
      </c>
      <c r="C18" s="14">
        <f>SUMIFS(Transactions!$G$2:$G$136,Transactions!$A$2:$A$136,"Sep 24, 2026",Transactions!$D$2:$D$136,$A18)</f>
        <v/>
      </c>
      <c r="D18" s="14">
        <f>B18+C18</f>
        <v/>
      </c>
    </row>
    <row r="19">
      <c r="A19" s="2" t="inlineStr">
        <is>
          <t>TIKTOK SHOP SELLER TAGUIG PHL</t>
        </is>
      </c>
      <c r="B19" s="14">
        <f>SUMIFS(Transactions!$G$2:$G$136,Transactions!$A$2:$A$136,"Aug 25, 2026",Transactions!$D$2:$D$136,$A19)</f>
        <v/>
      </c>
      <c r="C19" s="14">
        <f>SUMIFS(Transactions!$G$2:$G$136,Transactions!$A$2:$A$136,"Sep 24, 2026",Transactions!$D$2:$D$136,$A19)</f>
        <v/>
      </c>
      <c r="D19" s="14">
        <f>B19+C19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2026-10-01T10:56:27Z</dcterms:created>
  <dcterms:modified xsi:type="dcterms:W3CDTF">2026-10-01T10:56:27Z</dcterms:modified>
</cp:coreProperties>
</file>